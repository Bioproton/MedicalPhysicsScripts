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sander_thu_uib_no/Documents/NOVO/PTB model/"/>
    </mc:Choice>
  </mc:AlternateContent>
  <xr:revisionPtr revIDLastSave="829" documentId="8_{43BFD82B-E8CD-4C9A-A41E-E7C88FD49CA9}" xr6:coauthVersionLast="47" xr6:coauthVersionMax="47" xr10:uidLastSave="{1AA506C7-087D-420B-956C-EC6494005EFA}"/>
  <bookViews>
    <workbookView xWindow="-110" yWindow="-110" windowWidth="19420" windowHeight="11500" xr2:uid="{AE395461-3C5F-42EF-8998-504F3B32F0AC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" l="1"/>
  <c r="E127" i="1"/>
  <c r="E128" i="1"/>
  <c r="E129" i="1"/>
  <c r="D117" i="1"/>
  <c r="F115" i="1"/>
  <c r="E115" i="1"/>
  <c r="N15" i="1"/>
  <c r="Z15" i="1" s="1"/>
  <c r="M15" i="1"/>
  <c r="W15" i="1" s="1"/>
  <c r="L15" i="1"/>
  <c r="V15" i="1" s="1"/>
  <c r="L13" i="1"/>
  <c r="V13" i="1" s="1"/>
  <c r="E105" i="1" s="1"/>
  <c r="M13" i="1"/>
  <c r="N13" i="1"/>
  <c r="Z13" i="1" s="1"/>
  <c r="I105" i="1" s="1"/>
  <c r="U13" i="1"/>
  <c r="D105" i="1" s="1"/>
  <c r="W13" i="1"/>
  <c r="F105" i="1" s="1"/>
  <c r="X13" i="1"/>
  <c r="G105" i="1" s="1"/>
  <c r="G128" i="1"/>
  <c r="J127" i="1"/>
  <c r="J128" i="1" s="1"/>
  <c r="G127" i="1"/>
  <c r="T73" i="1"/>
  <c r="T72" i="1"/>
  <c r="Z59" i="1"/>
  <c r="N73" i="1"/>
  <c r="B73" i="1"/>
  <c r="H73" i="1"/>
  <c r="N72" i="1"/>
  <c r="H72" i="1"/>
  <c r="W40" i="1"/>
  <c r="W39" i="1"/>
  <c r="W38" i="1"/>
  <c r="Q44" i="1"/>
  <c r="Q39" i="1"/>
  <c r="K39" i="1"/>
  <c r="K44" i="1"/>
  <c r="F119" i="1" s="1"/>
  <c r="L12" i="1"/>
  <c r="U12" i="1" s="1"/>
  <c r="D104" i="1" s="1"/>
  <c r="M12" i="1"/>
  <c r="X12" i="1" s="1"/>
  <c r="G104" i="1" s="1"/>
  <c r="N12" i="1"/>
  <c r="Y12" i="1" s="1"/>
  <c r="H104" i="1" s="1"/>
  <c r="F104" i="1"/>
  <c r="I103" i="1"/>
  <c r="G103" i="1"/>
  <c r="E103" i="1"/>
  <c r="N14" i="1"/>
  <c r="Z14" i="1" s="1"/>
  <c r="I106" i="1" s="1"/>
  <c r="M14" i="1"/>
  <c r="X14" i="1" s="1"/>
  <c r="G106" i="1" s="1"/>
  <c r="L14" i="1"/>
  <c r="U14" i="1" s="1"/>
  <c r="D106" i="1" s="1"/>
  <c r="N23" i="1"/>
  <c r="Z23" i="1" s="1"/>
  <c r="I114" i="1" s="1"/>
  <c r="M23" i="1"/>
  <c r="W23" i="1" s="1"/>
  <c r="F114" i="1" s="1"/>
  <c r="L23" i="1"/>
  <c r="U23" i="1" s="1"/>
  <c r="D114" i="1" s="1"/>
  <c r="N22" i="1"/>
  <c r="Y22" i="1" s="1"/>
  <c r="H111" i="1" s="1"/>
  <c r="M22" i="1"/>
  <c r="W22" i="1" s="1"/>
  <c r="F111" i="1" s="1"/>
  <c r="L22" i="1"/>
  <c r="V22" i="1" s="1"/>
  <c r="E111" i="1" s="1"/>
  <c r="N21" i="1"/>
  <c r="Z21" i="1" s="1"/>
  <c r="I112" i="1" s="1"/>
  <c r="M21" i="1"/>
  <c r="X21" i="1" s="1"/>
  <c r="G112" i="1" s="1"/>
  <c r="L21" i="1"/>
  <c r="V21" i="1" s="1"/>
  <c r="E112" i="1" s="1"/>
  <c r="N20" i="1"/>
  <c r="Z20" i="1" s="1"/>
  <c r="I113" i="1" s="1"/>
  <c r="M20" i="1"/>
  <c r="W20" i="1" s="1"/>
  <c r="F113" i="1" s="1"/>
  <c r="L20" i="1"/>
  <c r="V20" i="1" s="1"/>
  <c r="E113" i="1" s="1"/>
  <c r="N19" i="1"/>
  <c r="Z19" i="1" s="1"/>
  <c r="I110" i="1" s="1"/>
  <c r="M19" i="1"/>
  <c r="X19" i="1" s="1"/>
  <c r="G110" i="1" s="1"/>
  <c r="L19" i="1"/>
  <c r="V19" i="1" s="1"/>
  <c r="E110" i="1" s="1"/>
  <c r="N18" i="1"/>
  <c r="Y18" i="1" s="1"/>
  <c r="H107" i="1" s="1"/>
  <c r="M18" i="1"/>
  <c r="X18" i="1" s="1"/>
  <c r="G107" i="1" s="1"/>
  <c r="L18" i="1"/>
  <c r="U18" i="1" s="1"/>
  <c r="D107" i="1" s="1"/>
  <c r="N17" i="1"/>
  <c r="Z17" i="1" s="1"/>
  <c r="I108" i="1" s="1"/>
  <c r="M17" i="1"/>
  <c r="X17" i="1" s="1"/>
  <c r="G108" i="1" s="1"/>
  <c r="L17" i="1"/>
  <c r="V17" i="1" s="1"/>
  <c r="E108" i="1" s="1"/>
  <c r="N16" i="1"/>
  <c r="Z16" i="1" s="1"/>
  <c r="I109" i="1" s="1"/>
  <c r="M16" i="1"/>
  <c r="W16" i="1" s="1"/>
  <c r="F109" i="1" s="1"/>
  <c r="L16" i="1"/>
  <c r="U16" i="1" s="1"/>
  <c r="D109" i="1" s="1"/>
  <c r="N11" i="1"/>
  <c r="Y11" i="1" s="1"/>
  <c r="H102" i="1" s="1"/>
  <c r="M11" i="1"/>
  <c r="X11" i="1" s="1"/>
  <c r="G102" i="1" s="1"/>
  <c r="L11" i="1"/>
  <c r="V11" i="1" s="1"/>
  <c r="E102" i="1" s="1"/>
  <c r="N10" i="1"/>
  <c r="Z10" i="1" s="1"/>
  <c r="I101" i="1" s="1"/>
  <c r="I115" i="1" s="1"/>
  <c r="M10" i="1"/>
  <c r="W10" i="1" s="1"/>
  <c r="F101" i="1" s="1"/>
  <c r="L10" i="1"/>
  <c r="V10" i="1" s="1"/>
  <c r="E101" i="1" s="1"/>
  <c r="D127" i="1" s="1"/>
  <c r="U15" i="1" l="1"/>
  <c r="X15" i="1"/>
  <c r="Y15" i="1"/>
  <c r="Y13" i="1"/>
  <c r="H105" i="1" s="1"/>
  <c r="F116" i="1"/>
  <c r="F118" i="1" s="1"/>
  <c r="F120" i="1" s="1"/>
  <c r="I116" i="1"/>
  <c r="I118" i="1" s="1"/>
  <c r="I120" i="1" s="1"/>
  <c r="X72" i="1"/>
  <c r="X73" i="1"/>
  <c r="Z12" i="1"/>
  <c r="I104" i="1" s="1"/>
  <c r="V12" i="1"/>
  <c r="E104" i="1" s="1"/>
  <c r="X22" i="1"/>
  <c r="G111" i="1" s="1"/>
  <c r="Z18" i="1"/>
  <c r="I107" i="1" s="1"/>
  <c r="Z22" i="1"/>
  <c r="I111" i="1" s="1"/>
  <c r="V16" i="1"/>
  <c r="E109" i="1" s="1"/>
  <c r="V23" i="1"/>
  <c r="E114" i="1" s="1"/>
  <c r="X23" i="1"/>
  <c r="G114" i="1" s="1"/>
  <c r="V14" i="1"/>
  <c r="E106" i="1" s="1"/>
  <c r="U17" i="1"/>
  <c r="D108" i="1" s="1"/>
  <c r="U21" i="1"/>
  <c r="D112" i="1" s="1"/>
  <c r="V18" i="1"/>
  <c r="E107" i="1" s="1"/>
  <c r="D103" i="1"/>
  <c r="U10" i="1"/>
  <c r="D101" i="1" s="1"/>
  <c r="X16" i="1"/>
  <c r="G109" i="1" s="1"/>
  <c r="Y16" i="1"/>
  <c r="H109" i="1" s="1"/>
  <c r="X20" i="1"/>
  <c r="G113" i="1" s="1"/>
  <c r="Y20" i="1"/>
  <c r="H113" i="1" s="1"/>
  <c r="W14" i="1"/>
  <c r="F106" i="1" s="1"/>
  <c r="W18" i="1"/>
  <c r="F107" i="1" s="1"/>
  <c r="U22" i="1"/>
  <c r="D111" i="1" s="1"/>
  <c r="X10" i="1"/>
  <c r="G101" i="1" s="1"/>
  <c r="H103" i="1"/>
  <c r="U11" i="1"/>
  <c r="D102" i="1" s="1"/>
  <c r="Z11" i="1"/>
  <c r="I102" i="1" s="1"/>
  <c r="Y14" i="1"/>
  <c r="H106" i="1" s="1"/>
  <c r="W17" i="1"/>
  <c r="F108" i="1" s="1"/>
  <c r="Y10" i="1"/>
  <c r="H101" i="1" s="1"/>
  <c r="W11" i="1"/>
  <c r="F102" i="1" s="1"/>
  <c r="Y23" i="1"/>
  <c r="H114" i="1" s="1"/>
  <c r="W21" i="1"/>
  <c r="F112" i="1" s="1"/>
  <c r="Y21" i="1"/>
  <c r="H112" i="1" s="1"/>
  <c r="U19" i="1"/>
  <c r="D110" i="1" s="1"/>
  <c r="W19" i="1"/>
  <c r="F110" i="1" s="1"/>
  <c r="Y19" i="1"/>
  <c r="H110" i="1" s="1"/>
  <c r="Y17" i="1"/>
  <c r="H108" i="1" s="1"/>
  <c r="U20" i="1"/>
  <c r="D113" i="1" s="1"/>
  <c r="F103" i="1"/>
  <c r="D115" i="1" l="1"/>
  <c r="D128" i="1"/>
  <c r="G115" i="1"/>
  <c r="G116" i="1"/>
  <c r="G118" i="1" s="1"/>
  <c r="G120" i="1" s="1"/>
  <c r="H116" i="1"/>
  <c r="H118" i="1" s="1"/>
  <c r="H120" i="1" s="1"/>
  <c r="H115" i="1"/>
  <c r="E117" i="1"/>
  <c r="I129" i="1" l="1"/>
  <c r="H129" i="1"/>
  <c r="E119" i="1"/>
  <c r="F128" i="1"/>
  <c r="F127" i="1"/>
  <c r="G129" i="1"/>
  <c r="F129" i="1"/>
  <c r="D119" i="1"/>
  <c r="D116" i="1"/>
  <c r="E116" i="1"/>
  <c r="E118" i="1" l="1"/>
  <c r="D123" i="1" s="1"/>
  <c r="D125" i="1" s="1"/>
  <c r="D118" i="1"/>
  <c r="D121" i="1"/>
  <c r="E120" i="1"/>
  <c r="D120" i="1"/>
  <c r="D124" i="1" s="1"/>
  <c r="D126" i="1" s="1"/>
  <c r="D129" i="1" s="1"/>
  <c r="D122" i="1"/>
</calcChain>
</file>

<file path=xl/sharedStrings.xml><?xml version="1.0" encoding="utf-8"?>
<sst xmlns="http://schemas.openxmlformats.org/spreadsheetml/2006/main" count="588" uniqueCount="182">
  <si>
    <t>Experimental values</t>
  </si>
  <si>
    <t>Bar center [mm]</t>
  </si>
  <si>
    <t>Bar center [cm]</t>
  </si>
  <si>
    <t>Bar dims [cm]</t>
  </si>
  <si>
    <t>Layer</t>
  </si>
  <si>
    <t>material</t>
  </si>
  <si>
    <t>in/out</t>
  </si>
  <si>
    <t>pos</t>
  </si>
  <si>
    <t>orientation</t>
  </si>
  <si>
    <t>x</t>
  </si>
  <si>
    <t>y</t>
  </si>
  <si>
    <t>z</t>
  </si>
  <si>
    <t>width</t>
  </si>
  <si>
    <t>length</t>
  </si>
  <si>
    <t>Surf #</t>
  </si>
  <si>
    <t>xmin</t>
  </si>
  <si>
    <t>xmax</t>
  </si>
  <si>
    <t>ymin</t>
  </si>
  <si>
    <t>ymax</t>
  </si>
  <si>
    <t>zmin</t>
  </si>
  <si>
    <t>zmax</t>
  </si>
  <si>
    <t>OGS</t>
  </si>
  <si>
    <t>h</t>
  </si>
  <si>
    <t>RPP</t>
  </si>
  <si>
    <t>M600</t>
  </si>
  <si>
    <t>in</t>
  </si>
  <si>
    <t>v</t>
  </si>
  <si>
    <t>out</t>
  </si>
  <si>
    <t>Worksheet to help with FLUKA geometry of PTB/mNOVOv4 model</t>
  </si>
  <si>
    <t>Scintillators are excat PTB measurements</t>
  </si>
  <si>
    <t>PMT1</t>
  </si>
  <si>
    <t>House casing thickness:</t>
  </si>
  <si>
    <t>House casing length:</t>
  </si>
  <si>
    <t>House casing width:</t>
  </si>
  <si>
    <t>mm</t>
  </si>
  <si>
    <t>Values</t>
  </si>
  <si>
    <t>House casing v scintillator seperation:</t>
  </si>
  <si>
    <t>House casing length offset:</t>
  </si>
  <si>
    <t>House shim 1 thickness:</t>
  </si>
  <si>
    <t>House shim 1 length:</t>
  </si>
  <si>
    <t>House shim 1 radius:</t>
  </si>
  <si>
    <t>House shim 1 square hole length/width:</t>
  </si>
  <si>
    <t>Scintillator bar</t>
  </si>
  <si>
    <t>Length:</t>
  </si>
  <si>
    <t>Width:</t>
  </si>
  <si>
    <t>House shim 2 thickness:</t>
  </si>
  <si>
    <t>House shim 2 length:</t>
  </si>
  <si>
    <t>House shim 2 radius:</t>
  </si>
  <si>
    <t>House shim 2 inner radius:</t>
  </si>
  <si>
    <t>PMT2</t>
  </si>
  <si>
    <t>U301</t>
  </si>
  <si>
    <t>Cylinder length:</t>
  </si>
  <si>
    <t>Cylinder radius:</t>
  </si>
  <si>
    <t>Box shim 1 thickness:</t>
  </si>
  <si>
    <t>Box shim 1 height:</t>
  </si>
  <si>
    <t>Box shim 1 square hole length/width:</t>
  </si>
  <si>
    <t>Box shim 1 offset 1:</t>
  </si>
  <si>
    <t>Box shim 1 offset 2:</t>
  </si>
  <si>
    <t>Box shim 2 thickness:</t>
  </si>
  <si>
    <t>Box shim 2 height:</t>
  </si>
  <si>
    <t>Box sihm 2 length:</t>
  </si>
  <si>
    <t>Outer box</t>
  </si>
  <si>
    <t>Inner box</t>
  </si>
  <si>
    <t>Shim cylinder</t>
  </si>
  <si>
    <t>Shim2 hole</t>
  </si>
  <si>
    <t>Shim1 hole pos</t>
  </si>
  <si>
    <t>Shim2 hole pos</t>
  </si>
  <si>
    <t>Shim1 hole neg</t>
  </si>
  <si>
    <t>Box plane pos</t>
  </si>
  <si>
    <t>Box plane neg</t>
  </si>
  <si>
    <t>Shim1 plane pos</t>
  </si>
  <si>
    <t>Shim1 plane neg</t>
  </si>
  <si>
    <t>Shim2 plane pos</t>
  </si>
  <si>
    <t>Shim2 plane neg</t>
  </si>
  <si>
    <t>Cylinder pos</t>
  </si>
  <si>
    <t>Cylinder neg</t>
  </si>
  <si>
    <t>XCC/YCC</t>
  </si>
  <si>
    <t>ZYP/ZYP</t>
  </si>
  <si>
    <t>RCC</t>
  </si>
  <si>
    <t>Scint</t>
  </si>
  <si>
    <t>Box</t>
  </si>
  <si>
    <t>bodies</t>
  </si>
  <si>
    <t>Total:</t>
  </si>
  <si>
    <t>coordinates</t>
  </si>
  <si>
    <t>Coordinates</t>
  </si>
  <si>
    <t>Air cavities</t>
  </si>
  <si>
    <t>House:</t>
  </si>
  <si>
    <t>Shim 1 pos</t>
  </si>
  <si>
    <t>Shim 2 pos</t>
  </si>
  <si>
    <t>Shim 1 neg</t>
  </si>
  <si>
    <t>Shim 2 neg</t>
  </si>
  <si>
    <t>Scintillator</t>
  </si>
  <si>
    <t>+1</t>
  </si>
  <si>
    <t>+1-2+9-8</t>
  </si>
  <si>
    <t>+3+8-10-4</t>
  </si>
  <si>
    <t>+3+10-12-5</t>
  </si>
  <si>
    <t>+3+11-9-6</t>
  </si>
  <si>
    <t>+3+13-11-5</t>
  </si>
  <si>
    <t>+14</t>
  </si>
  <si>
    <t>+15</t>
  </si>
  <si>
    <t>Shim1 box pos</t>
  </si>
  <si>
    <t>Shim1 box neg</t>
  </si>
  <si>
    <t>Shim2 outbox pos</t>
  </si>
  <si>
    <t>Shim2 inbox pos</t>
  </si>
  <si>
    <t>Shim2 outbox neg</t>
  </si>
  <si>
    <t>Shim2 inbox neg</t>
  </si>
  <si>
    <t>Shim1 box hole pos</t>
  </si>
  <si>
    <t>Shim1 box hole neg</t>
  </si>
  <si>
    <t>+3-4+11-13</t>
  </si>
  <si>
    <t>+7-8+13-15</t>
  </si>
  <si>
    <t>+5-6-12+14</t>
  </si>
  <si>
    <t>9-10-14+16</t>
  </si>
  <si>
    <t>Regions:</t>
  </si>
  <si>
    <t>Air container width:</t>
  </si>
  <si>
    <t>Air container length:</t>
  </si>
  <si>
    <t>Between house and scint</t>
  </si>
  <si>
    <t>Outside housing</t>
  </si>
  <si>
    <t>Air cavities:</t>
  </si>
  <si>
    <t>Outside pos shim1+2</t>
  </si>
  <si>
    <t>Outside neg shim1+2</t>
  </si>
  <si>
    <t>+A-1-8+9</t>
  </si>
  <si>
    <t>Between pos shim 2 hole and cylinder</t>
  </si>
  <si>
    <t>Between neg shim 2 hole and cylinder</t>
  </si>
  <si>
    <t>+5-14+10-12</t>
  </si>
  <si>
    <t>+6-15+13-11</t>
  </si>
  <si>
    <t>Outside pos cylinder</t>
  </si>
  <si>
    <t>Outside neg cylinder</t>
  </si>
  <si>
    <t>+A-6+8-12</t>
  </si>
  <si>
    <t>+A-14+12</t>
  </si>
  <si>
    <t>+A-6-13+11</t>
  </si>
  <si>
    <t>+A-15-13</t>
  </si>
  <si>
    <t>Between pos shim 2 hole</t>
  </si>
  <si>
    <t>Between neg shim 2 hole</t>
  </si>
  <si>
    <t>Between pos shim1 hole, scint</t>
  </si>
  <si>
    <t>Between neg shim1 hole, scint</t>
  </si>
  <si>
    <t>Next to pos shim1+2</t>
  </si>
  <si>
    <t>Next to neg shim1+2</t>
  </si>
  <si>
    <t>+4-S+11-13</t>
  </si>
  <si>
    <t>+6-S-12+14</t>
  </si>
  <si>
    <t>+8-S+13-15</t>
  </si>
  <si>
    <t>+10-S-14+16</t>
  </si>
  <si>
    <t>+2-S-8+9</t>
  </si>
  <si>
    <t>+2-S-11+12</t>
  </si>
  <si>
    <t>+A-1-11+12</t>
  </si>
  <si>
    <t>+A-3-7+11-15</t>
  </si>
  <si>
    <t>+A-5-9-12+16</t>
  </si>
  <si>
    <t>+A+15</t>
  </si>
  <si>
    <t>+A-16</t>
  </si>
  <si>
    <t>+4-S+8-10</t>
  </si>
  <si>
    <t>+6-S+11-9</t>
  </si>
  <si>
    <t>Gap between scint/cylinder:</t>
  </si>
  <si>
    <t>SDUM</t>
  </si>
  <si>
    <t>WHAT(2)</t>
  </si>
  <si>
    <t>WHAT(3)</t>
  </si>
  <si>
    <t>WHAT(4)</t>
  </si>
  <si>
    <t>WHAT(5)</t>
  </si>
  <si>
    <t>WHAT(6)</t>
  </si>
  <si>
    <t>WHAT(7)</t>
  </si>
  <si>
    <t>bar10</t>
  </si>
  <si>
    <t>bar11</t>
  </si>
  <si>
    <t>bar20</t>
  </si>
  <si>
    <t>bar21</t>
  </si>
  <si>
    <t>bar30</t>
  </si>
  <si>
    <t>bar31</t>
  </si>
  <si>
    <t>bar32</t>
  </si>
  <si>
    <t>bar33</t>
  </si>
  <si>
    <t>bar40</t>
  </si>
  <si>
    <t>bar41</t>
  </si>
  <si>
    <t>bar42</t>
  </si>
  <si>
    <t>bar43</t>
  </si>
  <si>
    <t>bar50</t>
  </si>
  <si>
    <t>bar51</t>
  </si>
  <si>
    <t>WHAT(8)</t>
  </si>
  <si>
    <t>-</t>
  </si>
  <si>
    <t>YZP</t>
  </si>
  <si>
    <t>Voidbox</t>
  </si>
  <si>
    <t>ZCC</t>
  </si>
  <si>
    <t>HOut_10</t>
  </si>
  <si>
    <t>HIn_10</t>
  </si>
  <si>
    <t>Shim box</t>
  </si>
  <si>
    <t>Shim2 box hole pos</t>
  </si>
  <si>
    <t>Shim2 box hole 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</si>
</sst>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6CE6-D584-48D5-9FDE-D959DB6E051E}">
  <dimension ref="A1:AD129"/>
  <sheetViews>
    <sheetView tabSelected="1" topLeftCell="K5" zoomScale="81" workbookViewId="0">
      <selection activeCell="AB12" sqref="AB12"/>
    </sheetView>
  </sheetViews>
  <sheetFormatPr baseColWidth="10" defaultRowHeight="14.5" x14ac:dyDescent="0.35"/>
  <sheetData>
    <row r="1" spans="1:26" x14ac:dyDescent="0.35">
      <c r="A1" t="s">
        <v>28</v>
      </c>
    </row>
    <row r="2" spans="1:26" x14ac:dyDescent="0.35">
      <c r="A2" t="s">
        <v>29</v>
      </c>
    </row>
    <row r="7" spans="1:26" ht="15" thickBot="1" x14ac:dyDescent="0.4"/>
    <row r="8" spans="1:26" x14ac:dyDescent="0.35">
      <c r="B8" s="23" t="s">
        <v>0</v>
      </c>
      <c r="C8" s="24"/>
      <c r="D8" s="24"/>
      <c r="E8" s="24"/>
      <c r="F8" s="24"/>
      <c r="G8" s="12"/>
      <c r="H8" s="24" t="s">
        <v>1</v>
      </c>
      <c r="I8" s="24"/>
      <c r="J8" s="24"/>
      <c r="K8" s="12"/>
      <c r="L8" s="24" t="s">
        <v>2</v>
      </c>
      <c r="M8" s="24"/>
      <c r="N8" s="24"/>
      <c r="O8" s="4"/>
      <c r="P8" s="24" t="s">
        <v>3</v>
      </c>
      <c r="Q8" s="24"/>
      <c r="R8" s="4"/>
      <c r="S8" s="12"/>
      <c r="T8" s="12"/>
      <c r="U8" s="12"/>
      <c r="V8" s="12"/>
      <c r="W8" s="12"/>
      <c r="X8" s="12"/>
      <c r="Y8" s="12"/>
      <c r="Z8" s="13"/>
    </row>
    <row r="9" spans="1:26" x14ac:dyDescent="0.35">
      <c r="B9" s="14" t="s">
        <v>4</v>
      </c>
      <c r="C9" s="15" t="s">
        <v>5</v>
      </c>
      <c r="D9" s="15" t="s">
        <v>6</v>
      </c>
      <c r="E9" s="15" t="s">
        <v>7</v>
      </c>
      <c r="F9" s="15" t="s">
        <v>8</v>
      </c>
      <c r="G9" s="15"/>
      <c r="H9" s="15" t="s">
        <v>9</v>
      </c>
      <c r="I9" s="15" t="s">
        <v>10</v>
      </c>
      <c r="J9" s="15" t="s">
        <v>11</v>
      </c>
      <c r="K9" s="15"/>
      <c r="L9" s="15" t="s">
        <v>9</v>
      </c>
      <c r="M9" s="15" t="s">
        <v>10</v>
      </c>
      <c r="N9" s="15" t="s">
        <v>11</v>
      </c>
      <c r="P9" s="15" t="s">
        <v>12</v>
      </c>
      <c r="Q9" s="15" t="s">
        <v>13</v>
      </c>
      <c r="S9" s="15" t="s">
        <v>14</v>
      </c>
      <c r="T9" s="15"/>
      <c r="U9" s="15" t="s">
        <v>15</v>
      </c>
      <c r="V9" s="15" t="s">
        <v>16</v>
      </c>
      <c r="W9" s="15" t="s">
        <v>17</v>
      </c>
      <c r="X9" s="15" t="s">
        <v>18</v>
      </c>
      <c r="Y9" s="15" t="s">
        <v>19</v>
      </c>
      <c r="Z9" s="16" t="s">
        <v>20</v>
      </c>
    </row>
    <row r="10" spans="1:26" x14ac:dyDescent="0.35">
      <c r="B10" s="14">
        <v>1</v>
      </c>
      <c r="C10" s="15" t="s">
        <v>21</v>
      </c>
      <c r="D10" s="15"/>
      <c r="E10" s="15"/>
      <c r="F10" s="15" t="s">
        <v>22</v>
      </c>
      <c r="G10" s="15"/>
      <c r="H10" s="17">
        <v>0</v>
      </c>
      <c r="I10" s="17">
        <v>20</v>
      </c>
      <c r="J10" s="17">
        <v>0</v>
      </c>
      <c r="K10" s="15"/>
      <c r="L10" s="15">
        <f>H10/10</f>
        <v>0</v>
      </c>
      <c r="M10" s="15">
        <f t="shared" ref="M10:N23" si="0">I10/10</f>
        <v>2</v>
      </c>
      <c r="N10" s="15">
        <f t="shared" si="0"/>
        <v>0</v>
      </c>
      <c r="P10" s="15">
        <v>1.2</v>
      </c>
      <c r="Q10" s="15">
        <v>14</v>
      </c>
      <c r="S10" s="15">
        <v>10</v>
      </c>
      <c r="T10" s="15" t="s">
        <v>23</v>
      </c>
      <c r="U10" s="15">
        <f>IF($F10="h",$L10-0.5*$Q10,$L10-0.5*$P10)</f>
        <v>-7</v>
      </c>
      <c r="V10" s="15">
        <f>IF($F10="h",$L10+0.5*$Q10,$L10+0.5*$P10)</f>
        <v>7</v>
      </c>
      <c r="W10" s="15">
        <f>IF($F10="v",$M10-0.5*$Q10,$M10-0.5*$P10)</f>
        <v>1.4</v>
      </c>
      <c r="X10" s="15">
        <f>IF($F10="v",$M10+0.5*$Q10,$M10+0.5*$P10)</f>
        <v>2.6</v>
      </c>
      <c r="Y10" s="15">
        <f>N10-0.5*$P10</f>
        <v>-0.6</v>
      </c>
      <c r="Z10" s="16">
        <f>N10+0.5*$P10</f>
        <v>0.6</v>
      </c>
    </row>
    <row r="11" spans="1:26" x14ac:dyDescent="0.35">
      <c r="B11" s="14">
        <v>1</v>
      </c>
      <c r="C11" s="15" t="s">
        <v>24</v>
      </c>
      <c r="D11" s="15"/>
      <c r="E11" s="15"/>
      <c r="F11" s="15" t="s">
        <v>22</v>
      </c>
      <c r="G11" s="15"/>
      <c r="H11" s="18">
        <v>0</v>
      </c>
      <c r="I11" s="18">
        <v>-20</v>
      </c>
      <c r="J11" s="18">
        <v>0</v>
      </c>
      <c r="K11" s="15"/>
      <c r="L11" s="15">
        <f t="shared" ref="L11:L23" si="1">H11/10</f>
        <v>0</v>
      </c>
      <c r="M11" s="15">
        <f t="shared" si="0"/>
        <v>-2</v>
      </c>
      <c r="N11" s="15">
        <f t="shared" si="0"/>
        <v>0</v>
      </c>
      <c r="P11" s="15">
        <v>1.2</v>
      </c>
      <c r="Q11" s="15">
        <v>14</v>
      </c>
      <c r="S11" s="15">
        <v>11</v>
      </c>
      <c r="T11" s="15" t="s">
        <v>23</v>
      </c>
      <c r="U11" s="15">
        <f t="shared" ref="U11:U23" si="2">IF($F11="h",$L11-0.5*$Q11,$L11-0.5*$P11)</f>
        <v>-7</v>
      </c>
      <c r="V11" s="15">
        <f t="shared" ref="V11:V23" si="3">IF($F11="h",$L11+0.5*$Q11,$L11+0.5*$P11)</f>
        <v>7</v>
      </c>
      <c r="W11" s="15">
        <f t="shared" ref="W11:W23" si="4">IF($F11="v",$M11-0.5*$Q11,$M11-0.5*$P11)</f>
        <v>-2.6</v>
      </c>
      <c r="X11" s="15">
        <f t="shared" ref="X11:X23" si="5">IF($F11="v",$M11+0.5*$Q11,$M11+0.5*$P11)</f>
        <v>-1.4</v>
      </c>
      <c r="Y11" s="15">
        <f t="shared" ref="Y11:Y23" si="6">N11-0.5*$P11</f>
        <v>-0.6</v>
      </c>
      <c r="Z11" s="16">
        <f t="shared" ref="Z11:Z23" si="7">N11+0.5*$P11</f>
        <v>0.6</v>
      </c>
    </row>
    <row r="12" spans="1:26" x14ac:dyDescent="0.35">
      <c r="B12" s="14">
        <v>2</v>
      </c>
      <c r="C12" s="15" t="s">
        <v>21</v>
      </c>
      <c r="D12" s="15" t="s">
        <v>25</v>
      </c>
      <c r="E12" s="15">
        <v>-1</v>
      </c>
      <c r="F12" s="15" t="s">
        <v>26</v>
      </c>
      <c r="G12" s="15"/>
      <c r="H12" s="17">
        <v>-21</v>
      </c>
      <c r="I12" s="17">
        <v>3</v>
      </c>
      <c r="J12" s="17">
        <v>38</v>
      </c>
      <c r="K12" s="15"/>
      <c r="L12" s="15">
        <f t="shared" si="1"/>
        <v>-2.1</v>
      </c>
      <c r="M12" s="15">
        <f t="shared" si="0"/>
        <v>0.3</v>
      </c>
      <c r="N12" s="15">
        <f t="shared" si="0"/>
        <v>3.8</v>
      </c>
      <c r="P12" s="15">
        <v>1.2</v>
      </c>
      <c r="Q12" s="15">
        <v>14</v>
      </c>
      <c r="S12" s="15">
        <v>20</v>
      </c>
      <c r="T12" s="15" t="s">
        <v>23</v>
      </c>
      <c r="U12" s="15">
        <f t="shared" si="2"/>
        <v>-2.7</v>
      </c>
      <c r="V12" s="15">
        <f t="shared" si="3"/>
        <v>-1.5</v>
      </c>
      <c r="W12" s="15">
        <v>-50</v>
      </c>
      <c r="X12" s="15">
        <f t="shared" si="5"/>
        <v>7.3</v>
      </c>
      <c r="Y12" s="15">
        <f t="shared" si="6"/>
        <v>3.1999999999999997</v>
      </c>
      <c r="Z12" s="16">
        <f t="shared" si="7"/>
        <v>4.3999999999999995</v>
      </c>
    </row>
    <row r="13" spans="1:26" x14ac:dyDescent="0.35">
      <c r="B13" s="14">
        <v>2</v>
      </c>
      <c r="C13" s="15" t="s">
        <v>24</v>
      </c>
      <c r="D13" s="15" t="s">
        <v>25</v>
      </c>
      <c r="E13" s="15">
        <v>1</v>
      </c>
      <c r="F13" s="15" t="s">
        <v>26</v>
      </c>
      <c r="G13" s="15"/>
      <c r="H13" s="18">
        <v>28</v>
      </c>
      <c r="I13" s="18">
        <v>3</v>
      </c>
      <c r="J13" s="18">
        <v>38</v>
      </c>
      <c r="K13" s="15"/>
      <c r="L13" s="15">
        <f t="shared" si="1"/>
        <v>2.8</v>
      </c>
      <c r="M13" s="15">
        <f t="shared" si="0"/>
        <v>0.3</v>
      </c>
      <c r="N13" s="15">
        <f t="shared" si="0"/>
        <v>3.8</v>
      </c>
      <c r="P13" s="15">
        <v>1.2</v>
      </c>
      <c r="Q13" s="15">
        <v>14</v>
      </c>
      <c r="S13" s="15">
        <v>21</v>
      </c>
      <c r="T13" s="15" t="s">
        <v>23</v>
      </c>
      <c r="U13" s="15">
        <f t="shared" si="2"/>
        <v>2.1999999999999997</v>
      </c>
      <c r="V13" s="15">
        <f t="shared" si="3"/>
        <v>3.4</v>
      </c>
      <c r="W13" s="15">
        <f t="shared" si="4"/>
        <v>-6.7</v>
      </c>
      <c r="X13" s="15">
        <f t="shared" si="5"/>
        <v>7.3</v>
      </c>
      <c r="Y13" s="15">
        <f t="shared" si="6"/>
        <v>3.1999999999999997</v>
      </c>
      <c r="Z13" s="16">
        <f t="shared" si="7"/>
        <v>4.3999999999999995</v>
      </c>
    </row>
    <row r="14" spans="1:26" x14ac:dyDescent="0.35">
      <c r="B14" s="14">
        <v>2</v>
      </c>
      <c r="C14" s="15" t="s">
        <v>21</v>
      </c>
      <c r="D14" s="15" t="s">
        <v>27</v>
      </c>
      <c r="E14" s="15">
        <v>2</v>
      </c>
      <c r="F14" s="15" t="s">
        <v>26</v>
      </c>
      <c r="G14" s="15"/>
      <c r="H14" s="17">
        <v>84</v>
      </c>
      <c r="I14" s="17">
        <v>3</v>
      </c>
      <c r="J14" s="17">
        <v>38</v>
      </c>
      <c r="K14" s="15"/>
      <c r="L14" s="15">
        <f t="shared" ref="L14:N18" si="8">H14/10</f>
        <v>8.4</v>
      </c>
      <c r="M14" s="15">
        <f t="shared" si="8"/>
        <v>0.3</v>
      </c>
      <c r="N14" s="15">
        <f t="shared" si="8"/>
        <v>3.8</v>
      </c>
      <c r="P14" s="15">
        <v>1.2</v>
      </c>
      <c r="Q14" s="15">
        <v>14</v>
      </c>
      <c r="S14" s="15">
        <v>50</v>
      </c>
      <c r="T14" s="15" t="s">
        <v>23</v>
      </c>
      <c r="U14" s="15">
        <f>IF($F14="h",$L14-0.5*$Q14,$L14-0.5*$P14)</f>
        <v>7.8000000000000007</v>
      </c>
      <c r="V14" s="15">
        <f>IF($F14="h",$L14+0.5*$Q14,$L14+0.5*$P14)</f>
        <v>9</v>
      </c>
      <c r="W14" s="15">
        <f>IF($F14="v",$M14-0.5*$Q14,$M14-0.5*$P14)</f>
        <v>-6.7</v>
      </c>
      <c r="X14" s="15">
        <f>IF($F14="v",$M14+0.5*$Q14,$M14+0.5*$P14)</f>
        <v>7.3</v>
      </c>
      <c r="Y14" s="15">
        <f>N14-0.5*$P14</f>
        <v>3.1999999999999997</v>
      </c>
      <c r="Z14" s="16">
        <f>N14+0.5*$P14</f>
        <v>4.3999999999999995</v>
      </c>
    </row>
    <row r="15" spans="1:26" x14ac:dyDescent="0.35">
      <c r="B15" s="14">
        <v>2</v>
      </c>
      <c r="C15" s="15" t="s">
        <v>24</v>
      </c>
      <c r="D15" s="15" t="s">
        <v>27</v>
      </c>
      <c r="E15" s="15">
        <v>-2</v>
      </c>
      <c r="F15" s="15" t="s">
        <v>26</v>
      </c>
      <c r="G15" s="15"/>
      <c r="H15" s="18">
        <v>-76</v>
      </c>
      <c r="I15" s="18">
        <v>3</v>
      </c>
      <c r="J15" s="18">
        <v>38</v>
      </c>
      <c r="K15" s="15"/>
      <c r="L15" s="15">
        <f t="shared" si="8"/>
        <v>-7.6</v>
      </c>
      <c r="M15" s="15">
        <f t="shared" si="8"/>
        <v>0.3</v>
      </c>
      <c r="N15" s="15">
        <f t="shared" si="8"/>
        <v>3.8</v>
      </c>
      <c r="P15" s="15">
        <v>1.2</v>
      </c>
      <c r="Q15" s="15">
        <v>14</v>
      </c>
      <c r="S15" s="15">
        <v>51</v>
      </c>
      <c r="T15" s="15" t="s">
        <v>23</v>
      </c>
      <c r="U15" s="15">
        <f>IF($F15="h",$L15-0.5*$Q15,$L15-0.5*$P15)</f>
        <v>-8.1999999999999993</v>
      </c>
      <c r="V15" s="15">
        <f>IF($F15="h",$L15+0.5*$Q15,$L15+0.5*$P15)</f>
        <v>-7</v>
      </c>
      <c r="W15" s="15">
        <f>IF($F15="v",$M15-0.5*$Q15,$M15-0.5*$P15)</f>
        <v>-6.7</v>
      </c>
      <c r="X15" s="15">
        <f>IF($F15="v",$M15+0.5*$Q15,$M15+0.5*$P15)</f>
        <v>7.3</v>
      </c>
      <c r="Y15" s="15">
        <f>N15-0.5*$P15</f>
        <v>3.1999999999999997</v>
      </c>
      <c r="Z15" s="16">
        <f>N15+0.5*$P15</f>
        <v>4.3999999999999995</v>
      </c>
    </row>
    <row r="16" spans="1:26" x14ac:dyDescent="0.35">
      <c r="B16" s="14">
        <v>3</v>
      </c>
      <c r="C16" s="15" t="s">
        <v>21</v>
      </c>
      <c r="D16" s="15" t="s">
        <v>25</v>
      </c>
      <c r="E16" s="15">
        <v>1</v>
      </c>
      <c r="F16" s="15" t="s">
        <v>22</v>
      </c>
      <c r="G16" s="15"/>
      <c r="H16" s="17">
        <v>0</v>
      </c>
      <c r="I16" s="17">
        <v>31</v>
      </c>
      <c r="J16" s="17">
        <v>126</v>
      </c>
      <c r="K16" s="15"/>
      <c r="L16" s="15">
        <f t="shared" si="8"/>
        <v>0</v>
      </c>
      <c r="M16" s="15">
        <f t="shared" si="8"/>
        <v>3.1</v>
      </c>
      <c r="N16" s="15">
        <f t="shared" si="8"/>
        <v>12.6</v>
      </c>
      <c r="P16" s="15">
        <v>1.2</v>
      </c>
      <c r="Q16" s="15">
        <v>14</v>
      </c>
      <c r="S16" s="15">
        <v>30</v>
      </c>
      <c r="T16" s="15" t="s">
        <v>23</v>
      </c>
      <c r="U16" s="15">
        <f>IF($F16="h",$L16-0.5*$Q16,$L16-0.5*$P16)</f>
        <v>-7</v>
      </c>
      <c r="V16" s="15">
        <f>IF($F16="h",$L16+0.5*$Q16,$L16+0.5*$P16)</f>
        <v>7</v>
      </c>
      <c r="W16" s="15">
        <f>IF($F16="v",$M16-0.5*$Q16,$M16-0.5*$P16)</f>
        <v>2.5</v>
      </c>
      <c r="X16" s="15">
        <f>IF($F16="v",$M16+0.5*$Q16,$M16+0.5*$P16)</f>
        <v>3.7</v>
      </c>
      <c r="Y16" s="15">
        <f>N16-0.5*$P16</f>
        <v>12</v>
      </c>
      <c r="Z16" s="16">
        <f>N16+0.5*$P16</f>
        <v>13.2</v>
      </c>
    </row>
    <row r="17" spans="2:26" x14ac:dyDescent="0.35">
      <c r="B17" s="14">
        <v>3</v>
      </c>
      <c r="C17" s="15" t="s">
        <v>24</v>
      </c>
      <c r="D17" s="15" t="s">
        <v>25</v>
      </c>
      <c r="E17" s="15">
        <v>-1</v>
      </c>
      <c r="F17" s="15" t="s">
        <v>22</v>
      </c>
      <c r="G17" s="15"/>
      <c r="H17" s="18">
        <v>0</v>
      </c>
      <c r="I17" s="18">
        <v>-31</v>
      </c>
      <c r="J17" s="18">
        <v>126</v>
      </c>
      <c r="K17" s="15"/>
      <c r="L17" s="15">
        <f t="shared" si="8"/>
        <v>0</v>
      </c>
      <c r="M17" s="15">
        <f t="shared" si="8"/>
        <v>-3.1</v>
      </c>
      <c r="N17" s="15">
        <f t="shared" si="8"/>
        <v>12.6</v>
      </c>
      <c r="P17" s="15">
        <v>1.2</v>
      </c>
      <c r="Q17" s="15">
        <v>14</v>
      </c>
      <c r="S17" s="15">
        <v>31</v>
      </c>
      <c r="T17" s="15" t="s">
        <v>23</v>
      </c>
      <c r="U17" s="15">
        <f>IF($F17="h",$L17-0.5*$Q17,$L17-0.5*$P17)</f>
        <v>-7</v>
      </c>
      <c r="V17" s="15">
        <f>IF($F17="h",$L17+0.5*$Q17,$L17+0.5*$P17)</f>
        <v>7</v>
      </c>
      <c r="W17" s="15">
        <f>IF($F17="v",$M17-0.5*$Q17,$M17-0.5*$P17)</f>
        <v>-3.7</v>
      </c>
      <c r="X17" s="15">
        <f>IF($F17="v",$M17+0.5*$Q17,$M17+0.5*$P17)</f>
        <v>-2.5</v>
      </c>
      <c r="Y17" s="15">
        <f>N17-0.5*$P17</f>
        <v>12</v>
      </c>
      <c r="Z17" s="16">
        <f>N17+0.5*$P17</f>
        <v>13.2</v>
      </c>
    </row>
    <row r="18" spans="2:26" x14ac:dyDescent="0.35">
      <c r="B18" s="14">
        <v>3</v>
      </c>
      <c r="C18" s="15" t="s">
        <v>21</v>
      </c>
      <c r="D18" s="15" t="s">
        <v>27</v>
      </c>
      <c r="E18" s="15">
        <v>-2</v>
      </c>
      <c r="F18" s="15" t="s">
        <v>22</v>
      </c>
      <c r="G18" s="15"/>
      <c r="H18" s="17">
        <v>0</v>
      </c>
      <c r="I18" s="17">
        <v>-92</v>
      </c>
      <c r="J18" s="17">
        <v>126</v>
      </c>
      <c r="K18" s="15"/>
      <c r="L18" s="15">
        <f t="shared" si="8"/>
        <v>0</v>
      </c>
      <c r="M18" s="15">
        <f t="shared" si="8"/>
        <v>-9.1999999999999993</v>
      </c>
      <c r="N18" s="15">
        <f t="shared" si="8"/>
        <v>12.6</v>
      </c>
      <c r="P18" s="15">
        <v>1.2</v>
      </c>
      <c r="Q18" s="15">
        <v>14</v>
      </c>
      <c r="S18" s="15">
        <v>32</v>
      </c>
      <c r="T18" s="15" t="s">
        <v>23</v>
      </c>
      <c r="U18" s="15">
        <f>IF($F18="h",$L18-0.5*$Q18,$L18-0.5*$P18)</f>
        <v>-7</v>
      </c>
      <c r="V18" s="15">
        <f>IF($F18="h",$L18+0.5*$Q18,$L18+0.5*$P18)</f>
        <v>7</v>
      </c>
      <c r="W18" s="15">
        <f>IF($F18="v",$M18-0.5*$Q18,$M18-0.5*$P18)</f>
        <v>-9.7999999999999989</v>
      </c>
      <c r="X18" s="15">
        <f>IF($F18="v",$M18+0.5*$Q18,$M18+0.5*$P18)</f>
        <v>-8.6</v>
      </c>
      <c r="Y18" s="15">
        <f>N18-0.5*$P18</f>
        <v>12</v>
      </c>
      <c r="Z18" s="16">
        <f>N18+0.5*$P18</f>
        <v>13.2</v>
      </c>
    </row>
    <row r="19" spans="2:26" x14ac:dyDescent="0.35">
      <c r="B19" s="14">
        <v>3</v>
      </c>
      <c r="C19" s="15" t="s">
        <v>24</v>
      </c>
      <c r="D19" s="15" t="s">
        <v>27</v>
      </c>
      <c r="E19" s="15">
        <v>2</v>
      </c>
      <c r="F19" s="15" t="s">
        <v>22</v>
      </c>
      <c r="G19" s="15"/>
      <c r="H19" s="18">
        <v>0</v>
      </c>
      <c r="I19" s="18">
        <v>92</v>
      </c>
      <c r="J19" s="18">
        <v>126</v>
      </c>
      <c r="K19" s="15"/>
      <c r="L19" s="15">
        <f t="shared" si="1"/>
        <v>0</v>
      </c>
      <c r="M19" s="15">
        <f t="shared" si="0"/>
        <v>9.1999999999999993</v>
      </c>
      <c r="N19" s="15">
        <f t="shared" si="0"/>
        <v>12.6</v>
      </c>
      <c r="P19" s="15">
        <v>1.2</v>
      </c>
      <c r="Q19" s="15">
        <v>14</v>
      </c>
      <c r="S19" s="15">
        <v>33</v>
      </c>
      <c r="T19" s="15" t="s">
        <v>23</v>
      </c>
      <c r="U19" s="15">
        <f t="shared" si="2"/>
        <v>-7</v>
      </c>
      <c r="V19" s="15">
        <f t="shared" si="3"/>
        <v>7</v>
      </c>
      <c r="W19" s="15">
        <f t="shared" si="4"/>
        <v>8.6</v>
      </c>
      <c r="X19" s="15">
        <f t="shared" si="5"/>
        <v>9.7999999999999989</v>
      </c>
      <c r="Y19" s="15">
        <f t="shared" si="6"/>
        <v>12</v>
      </c>
      <c r="Z19" s="16">
        <f t="shared" si="7"/>
        <v>13.2</v>
      </c>
    </row>
    <row r="20" spans="2:26" x14ac:dyDescent="0.35">
      <c r="B20" s="14">
        <v>4</v>
      </c>
      <c r="C20" s="15" t="s">
        <v>21</v>
      </c>
      <c r="D20" s="15" t="s">
        <v>25</v>
      </c>
      <c r="E20" s="15">
        <v>1</v>
      </c>
      <c r="F20" s="15" t="s">
        <v>26</v>
      </c>
      <c r="G20" s="15"/>
      <c r="H20" s="17">
        <v>31</v>
      </c>
      <c r="I20" s="17">
        <v>0</v>
      </c>
      <c r="J20" s="17">
        <v>212</v>
      </c>
      <c r="K20" s="15"/>
      <c r="L20" s="15">
        <f t="shared" ref="L20:N22" si="9">H20/10</f>
        <v>3.1</v>
      </c>
      <c r="M20" s="15">
        <f t="shared" si="9"/>
        <v>0</v>
      </c>
      <c r="N20" s="15">
        <f t="shared" si="9"/>
        <v>21.2</v>
      </c>
      <c r="P20" s="15">
        <v>1.2</v>
      </c>
      <c r="Q20" s="15">
        <v>14</v>
      </c>
      <c r="S20" s="15">
        <v>40</v>
      </c>
      <c r="T20" s="15" t="s">
        <v>23</v>
      </c>
      <c r="U20" s="15">
        <f>IF($F20="h",$L20-0.5*$Q20,$L20-0.5*$P20)</f>
        <v>2.5</v>
      </c>
      <c r="V20" s="15">
        <f>IF($F20="h",$L20+0.5*$Q20,$L20+0.5*$P20)</f>
        <v>3.7</v>
      </c>
      <c r="W20" s="15">
        <f>IF($F20="v",$M20-0.5*$Q20,$M20-0.5*$P20)</f>
        <v>-7</v>
      </c>
      <c r="X20" s="15">
        <f>IF($F20="v",$M20+0.5*$Q20,$M20+0.5*$P20)</f>
        <v>7</v>
      </c>
      <c r="Y20" s="15">
        <f>N20-0.5*$P20</f>
        <v>20.599999999999998</v>
      </c>
      <c r="Z20" s="16">
        <f>N20+0.5*$P20</f>
        <v>21.8</v>
      </c>
    </row>
    <row r="21" spans="2:26" x14ac:dyDescent="0.35">
      <c r="B21" s="14">
        <v>4</v>
      </c>
      <c r="C21" s="15" t="s">
        <v>24</v>
      </c>
      <c r="D21" s="15" t="s">
        <v>25</v>
      </c>
      <c r="E21" s="15">
        <v>-1</v>
      </c>
      <c r="F21" s="15" t="s">
        <v>26</v>
      </c>
      <c r="G21" s="15"/>
      <c r="H21" s="18">
        <v>-31</v>
      </c>
      <c r="I21" s="18">
        <v>0</v>
      </c>
      <c r="J21" s="18">
        <v>212</v>
      </c>
      <c r="K21" s="15"/>
      <c r="L21" s="15">
        <f t="shared" si="9"/>
        <v>-3.1</v>
      </c>
      <c r="M21" s="15">
        <f t="shared" si="9"/>
        <v>0</v>
      </c>
      <c r="N21" s="15">
        <f t="shared" si="9"/>
        <v>21.2</v>
      </c>
      <c r="P21" s="15">
        <v>1.2</v>
      </c>
      <c r="Q21" s="15">
        <v>14</v>
      </c>
      <c r="S21" s="15">
        <v>41</v>
      </c>
      <c r="T21" s="15" t="s">
        <v>23</v>
      </c>
      <c r="U21" s="15">
        <f>IF($F21="h",$L21-0.5*$Q21,$L21-0.5*$P21)</f>
        <v>-3.7</v>
      </c>
      <c r="V21" s="15">
        <f>IF($F21="h",$L21+0.5*$Q21,$L21+0.5*$P21)</f>
        <v>-2.5</v>
      </c>
      <c r="W21" s="15">
        <f>IF($F21="v",$M21-0.5*$Q21,$M21-0.5*$P21)</f>
        <v>-7</v>
      </c>
      <c r="X21" s="15">
        <f>IF($F21="v",$M21+0.5*$Q21,$M21+0.5*$P21)</f>
        <v>7</v>
      </c>
      <c r="Y21" s="15">
        <f>N21-0.5*$P21</f>
        <v>20.599999999999998</v>
      </c>
      <c r="Z21" s="16">
        <f>N21+0.5*$P21</f>
        <v>21.8</v>
      </c>
    </row>
    <row r="22" spans="2:26" x14ac:dyDescent="0.35">
      <c r="B22" s="14">
        <v>4</v>
      </c>
      <c r="C22" s="15" t="s">
        <v>21</v>
      </c>
      <c r="D22" s="15" t="s">
        <v>27</v>
      </c>
      <c r="E22" s="15">
        <v>-2</v>
      </c>
      <c r="F22" s="15" t="s">
        <v>26</v>
      </c>
      <c r="G22" s="15"/>
      <c r="H22" s="17">
        <v>-92</v>
      </c>
      <c r="I22" s="17">
        <v>0</v>
      </c>
      <c r="J22" s="17">
        <v>212</v>
      </c>
      <c r="K22" s="15"/>
      <c r="L22" s="15">
        <f t="shared" si="9"/>
        <v>-9.1999999999999993</v>
      </c>
      <c r="M22" s="15">
        <f t="shared" si="9"/>
        <v>0</v>
      </c>
      <c r="N22" s="15">
        <f t="shared" si="9"/>
        <v>21.2</v>
      </c>
      <c r="P22" s="15">
        <v>1.2</v>
      </c>
      <c r="Q22" s="15">
        <v>14</v>
      </c>
      <c r="S22" s="15">
        <v>42</v>
      </c>
      <c r="T22" s="15" t="s">
        <v>23</v>
      </c>
      <c r="U22" s="15">
        <f>IF($F22="h",$L22-0.5*$Q22,$L22-0.5*$P22)</f>
        <v>-9.7999999999999989</v>
      </c>
      <c r="V22" s="15">
        <f>IF($F22="h",$L22+0.5*$Q22,$L22+0.5*$P22)</f>
        <v>-8.6</v>
      </c>
      <c r="W22" s="15">
        <f>IF($F22="v",$M22-0.5*$Q22,$M22-0.5*$P22)</f>
        <v>-7</v>
      </c>
      <c r="X22" s="15">
        <f>IF($F22="v",$M22+0.5*$Q22,$M22+0.5*$P22)</f>
        <v>7</v>
      </c>
      <c r="Y22" s="15">
        <f>N22-0.5*$P22</f>
        <v>20.599999999999998</v>
      </c>
      <c r="Z22" s="16">
        <f>N22+0.5*$P22</f>
        <v>21.8</v>
      </c>
    </row>
    <row r="23" spans="2:26" ht="15" thickBot="1" x14ac:dyDescent="0.4">
      <c r="B23" s="19">
        <v>4</v>
      </c>
      <c r="C23" s="20" t="s">
        <v>24</v>
      </c>
      <c r="D23" s="20" t="s">
        <v>27</v>
      </c>
      <c r="E23" s="20">
        <v>2</v>
      </c>
      <c r="F23" s="20" t="s">
        <v>26</v>
      </c>
      <c r="G23" s="20"/>
      <c r="H23" s="21">
        <v>92</v>
      </c>
      <c r="I23" s="21">
        <v>0</v>
      </c>
      <c r="J23" s="21">
        <v>212</v>
      </c>
      <c r="K23" s="20"/>
      <c r="L23" s="20">
        <f t="shared" si="1"/>
        <v>9.1999999999999993</v>
      </c>
      <c r="M23" s="20">
        <f t="shared" si="0"/>
        <v>0</v>
      </c>
      <c r="N23" s="20">
        <f t="shared" si="0"/>
        <v>21.2</v>
      </c>
      <c r="O23" s="2"/>
      <c r="P23" s="20">
        <v>1.2</v>
      </c>
      <c r="Q23" s="20">
        <v>14</v>
      </c>
      <c r="R23" s="2"/>
      <c r="S23" s="20">
        <v>43</v>
      </c>
      <c r="T23" s="20" t="s">
        <v>23</v>
      </c>
      <c r="U23" s="20">
        <f t="shared" si="2"/>
        <v>8.6</v>
      </c>
      <c r="V23" s="20">
        <f t="shared" si="3"/>
        <v>9.7999999999999989</v>
      </c>
      <c r="W23" s="20">
        <f t="shared" si="4"/>
        <v>-7</v>
      </c>
      <c r="X23" s="20">
        <f t="shared" si="5"/>
        <v>7</v>
      </c>
      <c r="Y23" s="20">
        <f t="shared" si="6"/>
        <v>20.599999999999998</v>
      </c>
      <c r="Z23" s="22">
        <f t="shared" si="7"/>
        <v>21.8</v>
      </c>
    </row>
    <row r="27" spans="2:26" ht="15" thickBot="1" x14ac:dyDescent="0.4">
      <c r="B27" s="11"/>
      <c r="D27" s="11"/>
      <c r="F27" s="11"/>
      <c r="H27" s="11"/>
      <c r="J27" s="11"/>
      <c r="L27" s="11"/>
      <c r="M27" s="11"/>
      <c r="P27" s="11"/>
      <c r="R27" s="11"/>
      <c r="T27" s="11"/>
      <c r="V27" s="11"/>
      <c r="X27" s="11"/>
    </row>
    <row r="28" spans="2:26" x14ac:dyDescent="0.35">
      <c r="B28" s="3" t="s">
        <v>42</v>
      </c>
      <c r="C28" s="4"/>
      <c r="D28" s="4"/>
      <c r="E28" s="4"/>
      <c r="F28" s="4"/>
      <c r="G28" s="4"/>
      <c r="H28" s="5" t="s">
        <v>30</v>
      </c>
      <c r="I28" s="4"/>
      <c r="J28" s="4"/>
      <c r="K28" s="4"/>
      <c r="L28" s="4"/>
      <c r="M28" s="4"/>
      <c r="N28" s="5" t="s">
        <v>49</v>
      </c>
      <c r="O28" s="4"/>
      <c r="P28" s="4"/>
      <c r="Q28" s="4"/>
      <c r="R28" s="4"/>
      <c r="S28" s="4"/>
      <c r="T28" s="5" t="s">
        <v>50</v>
      </c>
      <c r="U28" s="4"/>
      <c r="V28" s="4"/>
      <c r="W28" s="4"/>
      <c r="X28" s="6"/>
    </row>
    <row r="29" spans="2:26" x14ac:dyDescent="0.35">
      <c r="B29" s="7"/>
      <c r="K29" t="s">
        <v>35</v>
      </c>
      <c r="Q29" t="s">
        <v>35</v>
      </c>
      <c r="X29" s="8"/>
    </row>
    <row r="30" spans="2:26" x14ac:dyDescent="0.35">
      <c r="B30" s="7" t="s">
        <v>43</v>
      </c>
      <c r="D30">
        <v>140</v>
      </c>
      <c r="E30" t="s">
        <v>34</v>
      </c>
      <c r="H30" t="s">
        <v>31</v>
      </c>
      <c r="K30">
        <v>3</v>
      </c>
      <c r="L30" t="s">
        <v>34</v>
      </c>
      <c r="N30" t="s">
        <v>31</v>
      </c>
      <c r="Q30">
        <v>3</v>
      </c>
      <c r="R30" t="s">
        <v>34</v>
      </c>
      <c r="T30" t="s">
        <v>31</v>
      </c>
      <c r="W30">
        <v>0.5</v>
      </c>
      <c r="X30" s="8" t="s">
        <v>34</v>
      </c>
    </row>
    <row r="31" spans="2:26" x14ac:dyDescent="0.35">
      <c r="B31" s="7" t="s">
        <v>44</v>
      </c>
      <c r="D31">
        <v>12</v>
      </c>
      <c r="E31" t="s">
        <v>34</v>
      </c>
      <c r="H31" t="s">
        <v>32</v>
      </c>
      <c r="K31">
        <v>131</v>
      </c>
      <c r="L31" t="s">
        <v>34</v>
      </c>
      <c r="N31" t="s">
        <v>32</v>
      </c>
      <c r="Q31">
        <v>135</v>
      </c>
      <c r="R31" t="s">
        <v>34</v>
      </c>
      <c r="T31" t="s">
        <v>32</v>
      </c>
      <c r="W31">
        <v>140</v>
      </c>
      <c r="X31" s="8" t="s">
        <v>34</v>
      </c>
    </row>
    <row r="32" spans="2:26" x14ac:dyDescent="0.35">
      <c r="B32" s="7"/>
      <c r="H32" t="s">
        <v>33</v>
      </c>
      <c r="K32">
        <v>20</v>
      </c>
      <c r="L32" t="s">
        <v>34</v>
      </c>
      <c r="N32" t="s">
        <v>33</v>
      </c>
      <c r="Q32">
        <v>20</v>
      </c>
      <c r="R32" t="s">
        <v>34</v>
      </c>
      <c r="T32" t="s">
        <v>33</v>
      </c>
      <c r="W32">
        <v>15</v>
      </c>
      <c r="X32" s="8" t="s">
        <v>34</v>
      </c>
    </row>
    <row r="33" spans="2:24" x14ac:dyDescent="0.35">
      <c r="B33" s="7"/>
      <c r="H33" t="s">
        <v>36</v>
      </c>
      <c r="K33">
        <v>1</v>
      </c>
      <c r="L33" t="s">
        <v>34</v>
      </c>
      <c r="N33" t="s">
        <v>36</v>
      </c>
      <c r="Q33">
        <v>1</v>
      </c>
      <c r="R33" t="s">
        <v>34</v>
      </c>
      <c r="T33" t="s">
        <v>36</v>
      </c>
      <c r="W33">
        <v>1</v>
      </c>
      <c r="X33" s="8" t="s">
        <v>34</v>
      </c>
    </row>
    <row r="34" spans="2:24" x14ac:dyDescent="0.35">
      <c r="B34" s="7"/>
      <c r="H34" t="s">
        <v>37</v>
      </c>
      <c r="K34">
        <v>4.5</v>
      </c>
      <c r="L34" t="s">
        <v>34</v>
      </c>
      <c r="N34" t="s">
        <v>37</v>
      </c>
      <c r="Q34">
        <v>2.5</v>
      </c>
      <c r="R34" t="s">
        <v>34</v>
      </c>
      <c r="T34" t="s">
        <v>37</v>
      </c>
      <c r="W34">
        <v>0</v>
      </c>
      <c r="X34" s="8" t="s">
        <v>34</v>
      </c>
    </row>
    <row r="35" spans="2:24" x14ac:dyDescent="0.35">
      <c r="B35" s="7"/>
      <c r="X35" s="8"/>
    </row>
    <row r="36" spans="2:24" x14ac:dyDescent="0.35">
      <c r="B36" s="7"/>
      <c r="H36" t="s">
        <v>38</v>
      </c>
      <c r="K36">
        <v>3</v>
      </c>
      <c r="L36" t="s">
        <v>34</v>
      </c>
      <c r="N36" t="s">
        <v>38</v>
      </c>
      <c r="Q36">
        <v>3</v>
      </c>
      <c r="R36" t="s">
        <v>34</v>
      </c>
      <c r="T36" t="s">
        <v>53</v>
      </c>
      <c r="W36">
        <v>0.5</v>
      </c>
      <c r="X36" s="8" t="s">
        <v>34</v>
      </c>
    </row>
    <row r="37" spans="2:24" x14ac:dyDescent="0.35">
      <c r="B37" s="7"/>
      <c r="H37" t="s">
        <v>39</v>
      </c>
      <c r="K37">
        <v>5.5</v>
      </c>
      <c r="L37" t="s">
        <v>34</v>
      </c>
      <c r="N37" t="s">
        <v>39</v>
      </c>
      <c r="Q37">
        <v>3</v>
      </c>
      <c r="R37" t="s">
        <v>34</v>
      </c>
      <c r="T37" t="s">
        <v>54</v>
      </c>
      <c r="W37">
        <v>30</v>
      </c>
      <c r="X37" s="8" t="s">
        <v>34</v>
      </c>
    </row>
    <row r="38" spans="2:24" x14ac:dyDescent="0.35">
      <c r="B38" s="7"/>
      <c r="H38" t="s">
        <v>40</v>
      </c>
      <c r="K38">
        <v>16.5</v>
      </c>
      <c r="L38" t="s">
        <v>34</v>
      </c>
      <c r="N38" t="s">
        <v>40</v>
      </c>
      <c r="Q38">
        <v>30</v>
      </c>
      <c r="R38" t="s">
        <v>34</v>
      </c>
      <c r="T38" t="s">
        <v>55</v>
      </c>
      <c r="W38">
        <f>W32-2*W30</f>
        <v>14</v>
      </c>
      <c r="X38" s="8" t="s">
        <v>34</v>
      </c>
    </row>
    <row r="39" spans="2:24" x14ac:dyDescent="0.35">
      <c r="B39" s="7"/>
      <c r="H39" t="s">
        <v>41</v>
      </c>
      <c r="K39">
        <f>K32-2*K30</f>
        <v>14</v>
      </c>
      <c r="L39" t="s">
        <v>34</v>
      </c>
      <c r="N39" t="s">
        <v>41</v>
      </c>
      <c r="Q39">
        <f>Q32-2*Q30</f>
        <v>14</v>
      </c>
      <c r="R39" t="s">
        <v>34</v>
      </c>
      <c r="T39" t="s">
        <v>56</v>
      </c>
      <c r="W39">
        <f>13+W30</f>
        <v>13.5</v>
      </c>
      <c r="X39" s="8" t="s">
        <v>34</v>
      </c>
    </row>
    <row r="40" spans="2:24" x14ac:dyDescent="0.35">
      <c r="B40" s="7"/>
      <c r="T40" t="s">
        <v>57</v>
      </c>
      <c r="W40">
        <f>2+W30</f>
        <v>2.5</v>
      </c>
      <c r="X40" s="8" t="s">
        <v>34</v>
      </c>
    </row>
    <row r="41" spans="2:24" x14ac:dyDescent="0.35">
      <c r="B41" s="7"/>
      <c r="H41" t="s">
        <v>45</v>
      </c>
      <c r="K41">
        <v>3</v>
      </c>
      <c r="L41" t="s">
        <v>34</v>
      </c>
      <c r="N41" t="s">
        <v>45</v>
      </c>
      <c r="Q41">
        <v>3</v>
      </c>
      <c r="R41" t="s">
        <v>34</v>
      </c>
      <c r="X41" s="8"/>
    </row>
    <row r="42" spans="2:24" x14ac:dyDescent="0.35">
      <c r="B42" s="7"/>
      <c r="H42" t="s">
        <v>46</v>
      </c>
      <c r="K42">
        <v>29.5</v>
      </c>
      <c r="L42" t="s">
        <v>34</v>
      </c>
      <c r="N42" t="s">
        <v>46</v>
      </c>
      <c r="Q42">
        <v>7</v>
      </c>
      <c r="R42" t="s">
        <v>34</v>
      </c>
      <c r="T42" t="s">
        <v>58</v>
      </c>
      <c r="W42">
        <v>0.5</v>
      </c>
      <c r="X42" s="8" t="s">
        <v>34</v>
      </c>
    </row>
    <row r="43" spans="2:24" x14ac:dyDescent="0.35">
      <c r="B43" s="7"/>
      <c r="H43" t="s">
        <v>47</v>
      </c>
      <c r="K43">
        <v>16.5</v>
      </c>
      <c r="L43" t="s">
        <v>34</v>
      </c>
      <c r="N43" t="s">
        <v>47</v>
      </c>
      <c r="Q43">
        <v>30</v>
      </c>
      <c r="R43" t="s">
        <v>34</v>
      </c>
      <c r="T43" t="s">
        <v>59</v>
      </c>
      <c r="W43">
        <v>30</v>
      </c>
      <c r="X43" s="8" t="s">
        <v>34</v>
      </c>
    </row>
    <row r="44" spans="2:24" x14ac:dyDescent="0.35">
      <c r="B44" s="7"/>
      <c r="H44" t="s">
        <v>48</v>
      </c>
      <c r="K44">
        <f>K43-K41</f>
        <v>13.5</v>
      </c>
      <c r="L44" t="s">
        <v>34</v>
      </c>
      <c r="N44" t="s">
        <v>48</v>
      </c>
      <c r="Q44">
        <f>Q43-Q41</f>
        <v>27</v>
      </c>
      <c r="R44" t="s">
        <v>34</v>
      </c>
      <c r="T44" t="s">
        <v>60</v>
      </c>
      <c r="W44">
        <v>150</v>
      </c>
      <c r="X44" s="8" t="s">
        <v>34</v>
      </c>
    </row>
    <row r="45" spans="2:24" x14ac:dyDescent="0.35">
      <c r="B45" s="7"/>
      <c r="X45" s="8"/>
    </row>
    <row r="46" spans="2:24" x14ac:dyDescent="0.35">
      <c r="B46" s="7"/>
      <c r="H46" t="s">
        <v>51</v>
      </c>
      <c r="K46">
        <v>80</v>
      </c>
      <c r="L46" t="s">
        <v>34</v>
      </c>
      <c r="N46" t="s">
        <v>51</v>
      </c>
      <c r="Q46">
        <v>350</v>
      </c>
      <c r="R46" t="s">
        <v>34</v>
      </c>
      <c r="X46" s="8"/>
    </row>
    <row r="47" spans="2:24" x14ac:dyDescent="0.35">
      <c r="B47" s="7"/>
      <c r="H47" t="s">
        <v>52</v>
      </c>
      <c r="K47">
        <v>12.7</v>
      </c>
      <c r="L47" t="s">
        <v>34</v>
      </c>
      <c r="N47" t="s">
        <v>52</v>
      </c>
      <c r="Q47">
        <v>25.4</v>
      </c>
      <c r="R47" t="s">
        <v>34</v>
      </c>
      <c r="X47" s="8"/>
    </row>
    <row r="48" spans="2:24" x14ac:dyDescent="0.35">
      <c r="B48" s="7"/>
      <c r="H48" t="s">
        <v>150</v>
      </c>
      <c r="K48">
        <v>1</v>
      </c>
      <c r="L48" t="s">
        <v>34</v>
      </c>
      <c r="N48" t="s">
        <v>150</v>
      </c>
      <c r="Q48">
        <v>1</v>
      </c>
      <c r="R48" t="s">
        <v>34</v>
      </c>
      <c r="X48" s="8"/>
    </row>
    <row r="49" spans="1:30" x14ac:dyDescent="0.35">
      <c r="B49" s="7"/>
      <c r="H49" t="s">
        <v>150</v>
      </c>
      <c r="K49">
        <v>1</v>
      </c>
      <c r="L49" t="s">
        <v>34</v>
      </c>
      <c r="N49" t="s">
        <v>150</v>
      </c>
      <c r="Q49">
        <v>1</v>
      </c>
      <c r="R49" t="s">
        <v>34</v>
      </c>
      <c r="X49" s="8"/>
    </row>
    <row r="50" spans="1:30" x14ac:dyDescent="0.35">
      <c r="B50" s="7"/>
      <c r="H50" t="s">
        <v>114</v>
      </c>
      <c r="K50">
        <v>310</v>
      </c>
      <c r="L50" t="s">
        <v>34</v>
      </c>
      <c r="N50" t="s">
        <v>114</v>
      </c>
      <c r="Q50">
        <v>850</v>
      </c>
      <c r="R50" t="s">
        <v>34</v>
      </c>
      <c r="T50" t="s">
        <v>114</v>
      </c>
      <c r="W50">
        <v>450</v>
      </c>
      <c r="X50" s="8" t="s">
        <v>34</v>
      </c>
    </row>
    <row r="51" spans="1:30" ht="15" thickBot="1" x14ac:dyDescent="0.4">
      <c r="B51" s="9"/>
      <c r="C51" s="2"/>
      <c r="D51" s="2"/>
      <c r="E51" s="2"/>
      <c r="F51" s="2"/>
      <c r="G51" s="2"/>
      <c r="H51" s="2" t="s">
        <v>113</v>
      </c>
      <c r="I51" s="2"/>
      <c r="J51" s="2"/>
      <c r="K51" s="2">
        <v>35</v>
      </c>
      <c r="L51" s="2" t="s">
        <v>34</v>
      </c>
      <c r="M51" s="2"/>
      <c r="N51" s="2" t="s">
        <v>113</v>
      </c>
      <c r="O51" s="2"/>
      <c r="P51" s="2"/>
      <c r="Q51" s="2">
        <v>32</v>
      </c>
      <c r="R51" s="2" t="s">
        <v>34</v>
      </c>
      <c r="S51" s="2"/>
      <c r="T51" s="2" t="s">
        <v>113</v>
      </c>
      <c r="U51" s="2"/>
      <c r="V51" s="2"/>
      <c r="W51" s="2">
        <v>32</v>
      </c>
      <c r="X51" s="10" t="s">
        <v>34</v>
      </c>
    </row>
    <row r="53" spans="1:30" x14ac:dyDescent="0.35">
      <c r="B53" t="s">
        <v>79</v>
      </c>
      <c r="H53" t="s">
        <v>30</v>
      </c>
      <c r="N53" t="s">
        <v>49</v>
      </c>
      <c r="T53" t="s">
        <v>50</v>
      </c>
      <c r="Z53" t="s">
        <v>85</v>
      </c>
    </row>
    <row r="55" spans="1:30" x14ac:dyDescent="0.35">
      <c r="A55">
        <v>1</v>
      </c>
      <c r="B55" t="s">
        <v>80</v>
      </c>
      <c r="C55" t="s">
        <v>23</v>
      </c>
      <c r="D55">
        <v>6</v>
      </c>
      <c r="G55">
        <v>1</v>
      </c>
      <c r="H55" t="s">
        <v>61</v>
      </c>
      <c r="J55" t="s">
        <v>23</v>
      </c>
      <c r="K55">
        <v>6</v>
      </c>
      <c r="M55">
        <v>1</v>
      </c>
      <c r="N55" t="s">
        <v>61</v>
      </c>
      <c r="P55" t="s">
        <v>23</v>
      </c>
      <c r="Q55">
        <v>6</v>
      </c>
      <c r="S55">
        <v>1</v>
      </c>
      <c r="T55" t="s">
        <v>61</v>
      </c>
      <c r="V55" t="s">
        <v>23</v>
      </c>
      <c r="W55">
        <v>6</v>
      </c>
      <c r="Y55">
        <v>1</v>
      </c>
      <c r="Z55" t="s">
        <v>80</v>
      </c>
      <c r="AA55" t="s">
        <v>23</v>
      </c>
      <c r="AB55">
        <v>6</v>
      </c>
      <c r="AD55" t="s">
        <v>61</v>
      </c>
    </row>
    <row r="56" spans="1:30" x14ac:dyDescent="0.35">
      <c r="G56">
        <v>2</v>
      </c>
      <c r="H56" t="s">
        <v>62</v>
      </c>
      <c r="J56" t="s">
        <v>23</v>
      </c>
      <c r="K56">
        <v>6</v>
      </c>
      <c r="M56">
        <v>2</v>
      </c>
      <c r="N56" t="s">
        <v>62</v>
      </c>
      <c r="P56" t="s">
        <v>23</v>
      </c>
      <c r="Q56">
        <v>6</v>
      </c>
      <c r="S56">
        <v>2</v>
      </c>
      <c r="T56" t="s">
        <v>62</v>
      </c>
      <c r="V56" t="s">
        <v>23</v>
      </c>
      <c r="W56">
        <v>6</v>
      </c>
      <c r="AD56" t="s">
        <v>62</v>
      </c>
    </row>
    <row r="57" spans="1:30" x14ac:dyDescent="0.35">
      <c r="G57">
        <v>3</v>
      </c>
      <c r="H57" t="s">
        <v>63</v>
      </c>
      <c r="J57" t="s">
        <v>76</v>
      </c>
      <c r="K57">
        <v>3</v>
      </c>
      <c r="M57">
        <v>3</v>
      </c>
      <c r="N57" t="s">
        <v>63</v>
      </c>
      <c r="P57" t="s">
        <v>76</v>
      </c>
      <c r="Q57">
        <v>3</v>
      </c>
      <c r="S57">
        <v>3</v>
      </c>
      <c r="T57" t="s">
        <v>100</v>
      </c>
      <c r="V57" t="s">
        <v>23</v>
      </c>
      <c r="W57">
        <v>6</v>
      </c>
      <c r="AD57" t="s">
        <v>179</v>
      </c>
    </row>
    <row r="58" spans="1:30" x14ac:dyDescent="0.35">
      <c r="G58">
        <v>4</v>
      </c>
      <c r="H58" t="s">
        <v>65</v>
      </c>
      <c r="J58" t="s">
        <v>23</v>
      </c>
      <c r="K58">
        <v>6</v>
      </c>
      <c r="M58">
        <v>4</v>
      </c>
      <c r="N58" t="s">
        <v>65</v>
      </c>
      <c r="P58" t="s">
        <v>23</v>
      </c>
      <c r="Q58">
        <v>6</v>
      </c>
      <c r="S58">
        <v>4</v>
      </c>
      <c r="T58" t="s">
        <v>106</v>
      </c>
      <c r="V58" t="s">
        <v>23</v>
      </c>
      <c r="W58">
        <v>6</v>
      </c>
      <c r="Z58">
        <v>14</v>
      </c>
      <c r="AA58" t="s">
        <v>81</v>
      </c>
      <c r="AD58" t="s">
        <v>106</v>
      </c>
    </row>
    <row r="59" spans="1:30" x14ac:dyDescent="0.35">
      <c r="G59">
        <v>5</v>
      </c>
      <c r="H59" t="s">
        <v>64</v>
      </c>
      <c r="J59" t="s">
        <v>76</v>
      </c>
      <c r="K59">
        <v>3</v>
      </c>
      <c r="M59">
        <v>5</v>
      </c>
      <c r="N59" t="s">
        <v>66</v>
      </c>
      <c r="P59" t="s">
        <v>76</v>
      </c>
      <c r="Q59">
        <v>3</v>
      </c>
      <c r="S59">
        <v>5</v>
      </c>
      <c r="T59" t="s">
        <v>101</v>
      </c>
      <c r="V59" t="s">
        <v>23</v>
      </c>
      <c r="W59">
        <v>6</v>
      </c>
      <c r="Z59">
        <f>Z58*AB55</f>
        <v>84</v>
      </c>
      <c r="AA59" t="s">
        <v>83</v>
      </c>
      <c r="AD59" t="s">
        <v>107</v>
      </c>
    </row>
    <row r="60" spans="1:30" x14ac:dyDescent="0.35">
      <c r="G60">
        <v>6</v>
      </c>
      <c r="H60" t="s">
        <v>67</v>
      </c>
      <c r="J60" t="s">
        <v>23</v>
      </c>
      <c r="K60">
        <v>6</v>
      </c>
      <c r="M60">
        <v>6</v>
      </c>
      <c r="N60" t="s">
        <v>67</v>
      </c>
      <c r="P60" t="s">
        <v>23</v>
      </c>
      <c r="Q60">
        <v>6</v>
      </c>
      <c r="S60">
        <v>6</v>
      </c>
      <c r="T60" t="s">
        <v>107</v>
      </c>
      <c r="V60" t="s">
        <v>23</v>
      </c>
      <c r="W60">
        <v>6</v>
      </c>
      <c r="AD60" t="s">
        <v>180</v>
      </c>
    </row>
    <row r="61" spans="1:30" x14ac:dyDescent="0.35">
      <c r="S61">
        <v>7</v>
      </c>
      <c r="T61" t="s">
        <v>102</v>
      </c>
      <c r="V61" t="s">
        <v>23</v>
      </c>
      <c r="W61">
        <v>6</v>
      </c>
      <c r="AD61" t="s">
        <v>181</v>
      </c>
    </row>
    <row r="62" spans="1:30" x14ac:dyDescent="0.35">
      <c r="G62">
        <v>8</v>
      </c>
      <c r="H62" t="s">
        <v>68</v>
      </c>
      <c r="J62" t="s">
        <v>77</v>
      </c>
      <c r="K62">
        <v>1</v>
      </c>
      <c r="M62">
        <v>8</v>
      </c>
      <c r="N62" t="s">
        <v>68</v>
      </c>
      <c r="P62" t="s">
        <v>77</v>
      </c>
      <c r="Q62">
        <v>1</v>
      </c>
      <c r="S62">
        <v>8</v>
      </c>
      <c r="T62" t="s">
        <v>103</v>
      </c>
      <c r="V62" t="s">
        <v>23</v>
      </c>
      <c r="W62">
        <v>6</v>
      </c>
    </row>
    <row r="63" spans="1:30" x14ac:dyDescent="0.35">
      <c r="G63">
        <v>9</v>
      </c>
      <c r="H63" t="s">
        <v>69</v>
      </c>
      <c r="J63" t="s">
        <v>77</v>
      </c>
      <c r="K63">
        <v>1</v>
      </c>
      <c r="M63">
        <v>9</v>
      </c>
      <c r="N63" t="s">
        <v>69</v>
      </c>
      <c r="P63" t="s">
        <v>77</v>
      </c>
      <c r="Q63">
        <v>1</v>
      </c>
      <c r="S63">
        <v>9</v>
      </c>
      <c r="T63" t="s">
        <v>104</v>
      </c>
      <c r="V63" t="s">
        <v>23</v>
      </c>
      <c r="W63">
        <v>6</v>
      </c>
    </row>
    <row r="64" spans="1:30" x14ac:dyDescent="0.35">
      <c r="G64">
        <v>10</v>
      </c>
      <c r="H64" t="s">
        <v>70</v>
      </c>
      <c r="J64" t="s">
        <v>77</v>
      </c>
      <c r="K64">
        <v>1</v>
      </c>
      <c r="M64">
        <v>10</v>
      </c>
      <c r="N64" t="s">
        <v>70</v>
      </c>
      <c r="P64" t="s">
        <v>77</v>
      </c>
      <c r="Q64">
        <v>1</v>
      </c>
      <c r="S64">
        <v>10</v>
      </c>
      <c r="T64" t="s">
        <v>105</v>
      </c>
      <c r="V64" t="s">
        <v>23</v>
      </c>
      <c r="W64">
        <v>6</v>
      </c>
    </row>
    <row r="65" spans="2:30" x14ac:dyDescent="0.35">
      <c r="G65">
        <v>11</v>
      </c>
      <c r="H65" t="s">
        <v>71</v>
      </c>
      <c r="J65" t="s">
        <v>77</v>
      </c>
      <c r="K65">
        <v>1</v>
      </c>
      <c r="M65">
        <v>11</v>
      </c>
      <c r="N65" t="s">
        <v>71</v>
      </c>
      <c r="P65" t="s">
        <v>77</v>
      </c>
      <c r="Q65">
        <v>1</v>
      </c>
      <c r="S65">
        <v>11</v>
      </c>
      <c r="T65" t="s">
        <v>68</v>
      </c>
      <c r="V65" t="s">
        <v>77</v>
      </c>
      <c r="W65">
        <v>1</v>
      </c>
      <c r="AD65" t="s">
        <v>68</v>
      </c>
    </row>
    <row r="66" spans="2:30" x14ac:dyDescent="0.35">
      <c r="G66">
        <v>12</v>
      </c>
      <c r="H66" t="s">
        <v>72</v>
      </c>
      <c r="J66" t="s">
        <v>77</v>
      </c>
      <c r="K66">
        <v>1</v>
      </c>
      <c r="M66">
        <v>12</v>
      </c>
      <c r="N66" t="s">
        <v>72</v>
      </c>
      <c r="P66" t="s">
        <v>77</v>
      </c>
      <c r="Q66">
        <v>1</v>
      </c>
      <c r="S66">
        <v>12</v>
      </c>
      <c r="T66" t="s">
        <v>69</v>
      </c>
      <c r="V66" t="s">
        <v>77</v>
      </c>
      <c r="W66">
        <v>1</v>
      </c>
      <c r="AD66" t="s">
        <v>69</v>
      </c>
    </row>
    <row r="67" spans="2:30" x14ac:dyDescent="0.35">
      <c r="G67">
        <v>13</v>
      </c>
      <c r="H67" t="s">
        <v>73</v>
      </c>
      <c r="J67" t="s">
        <v>77</v>
      </c>
      <c r="K67">
        <v>1</v>
      </c>
      <c r="M67">
        <v>13</v>
      </c>
      <c r="N67" t="s">
        <v>73</v>
      </c>
      <c r="P67" t="s">
        <v>77</v>
      </c>
      <c r="Q67">
        <v>1</v>
      </c>
      <c r="S67">
        <v>13</v>
      </c>
      <c r="T67" t="s">
        <v>70</v>
      </c>
      <c r="V67" t="s">
        <v>77</v>
      </c>
      <c r="W67">
        <v>1</v>
      </c>
      <c r="AD67" t="s">
        <v>70</v>
      </c>
    </row>
    <row r="68" spans="2:30" x14ac:dyDescent="0.35">
      <c r="G68">
        <v>14</v>
      </c>
      <c r="H68" t="s">
        <v>74</v>
      </c>
      <c r="J68" t="s">
        <v>78</v>
      </c>
      <c r="K68">
        <v>7</v>
      </c>
      <c r="M68">
        <v>14</v>
      </c>
      <c r="N68" t="s">
        <v>74</v>
      </c>
      <c r="P68" t="s">
        <v>78</v>
      </c>
      <c r="Q68">
        <v>7</v>
      </c>
      <c r="S68">
        <v>14</v>
      </c>
      <c r="T68" t="s">
        <v>71</v>
      </c>
      <c r="V68" t="s">
        <v>77</v>
      </c>
      <c r="W68">
        <v>1</v>
      </c>
      <c r="AD68" t="s">
        <v>71</v>
      </c>
    </row>
    <row r="69" spans="2:30" x14ac:dyDescent="0.35">
      <c r="G69">
        <v>15</v>
      </c>
      <c r="H69" t="s">
        <v>75</v>
      </c>
      <c r="J69" t="s">
        <v>78</v>
      </c>
      <c r="K69">
        <v>7</v>
      </c>
      <c r="M69">
        <v>15</v>
      </c>
      <c r="N69" t="s">
        <v>75</v>
      </c>
      <c r="P69" t="s">
        <v>78</v>
      </c>
      <c r="Q69">
        <v>7</v>
      </c>
      <c r="S69">
        <v>15</v>
      </c>
      <c r="T69" t="s">
        <v>72</v>
      </c>
      <c r="V69" t="s">
        <v>77</v>
      </c>
      <c r="W69">
        <v>1</v>
      </c>
      <c r="AD69" t="s">
        <v>72</v>
      </c>
    </row>
    <row r="70" spans="2:30" x14ac:dyDescent="0.35">
      <c r="S70">
        <v>16</v>
      </c>
      <c r="T70" t="s">
        <v>73</v>
      </c>
      <c r="V70" t="s">
        <v>77</v>
      </c>
      <c r="W70">
        <v>1</v>
      </c>
      <c r="AD70" t="s">
        <v>73</v>
      </c>
    </row>
    <row r="72" spans="2:30" x14ac:dyDescent="0.35">
      <c r="B72">
        <v>14</v>
      </c>
      <c r="C72" t="s">
        <v>81</v>
      </c>
      <c r="H72">
        <f>15*2</f>
        <v>30</v>
      </c>
      <c r="I72" t="s">
        <v>81</v>
      </c>
      <c r="N72">
        <f>15*8</f>
        <v>120</v>
      </c>
      <c r="O72" t="s">
        <v>81</v>
      </c>
      <c r="T72">
        <f>16*4</f>
        <v>64</v>
      </c>
      <c r="U72" t="s">
        <v>81</v>
      </c>
      <c r="W72" t="s">
        <v>82</v>
      </c>
      <c r="X72">
        <f>B72+H72+N72+T72</f>
        <v>228</v>
      </c>
      <c r="Y72" t="s">
        <v>81</v>
      </c>
    </row>
    <row r="73" spans="2:30" x14ac:dyDescent="0.35">
      <c r="B73">
        <f>D55*14</f>
        <v>84</v>
      </c>
      <c r="C73" t="s">
        <v>84</v>
      </c>
      <c r="H73">
        <f>SUM(K55:K69)*2</f>
        <v>100</v>
      </c>
      <c r="I73" t="s">
        <v>83</v>
      </c>
      <c r="N73">
        <f>SUM(Q55:Q69)*8</f>
        <v>400</v>
      </c>
      <c r="O73" t="s">
        <v>83</v>
      </c>
      <c r="T73">
        <f>SUM(W55:W70)*4</f>
        <v>264</v>
      </c>
      <c r="U73" t="s">
        <v>83</v>
      </c>
      <c r="X73">
        <f>B73+H73+N73+T73</f>
        <v>848</v>
      </c>
      <c r="Y73" t="s">
        <v>83</v>
      </c>
    </row>
    <row r="75" spans="2:30" x14ac:dyDescent="0.35">
      <c r="B75" t="s">
        <v>112</v>
      </c>
      <c r="H75" t="s">
        <v>112</v>
      </c>
      <c r="N75" t="s">
        <v>112</v>
      </c>
      <c r="T75" t="s">
        <v>112</v>
      </c>
      <c r="Z75" t="s">
        <v>112</v>
      </c>
      <c r="AA75" s="1"/>
    </row>
    <row r="76" spans="2:30" x14ac:dyDescent="0.35">
      <c r="B76" t="s">
        <v>91</v>
      </c>
      <c r="C76" s="1" t="s">
        <v>92</v>
      </c>
      <c r="H76" t="s">
        <v>86</v>
      </c>
      <c r="K76" s="1" t="s">
        <v>93</v>
      </c>
      <c r="N76" t="s">
        <v>86</v>
      </c>
      <c r="Q76" s="1" t="s">
        <v>93</v>
      </c>
      <c r="T76" t="s">
        <v>86</v>
      </c>
      <c r="W76" s="1" t="s">
        <v>93</v>
      </c>
    </row>
    <row r="77" spans="2:30" x14ac:dyDescent="0.35">
      <c r="H77" t="s">
        <v>87</v>
      </c>
      <c r="K77" s="1" t="s">
        <v>94</v>
      </c>
      <c r="N77" t="s">
        <v>87</v>
      </c>
      <c r="Q77" s="1" t="s">
        <v>94</v>
      </c>
      <c r="T77" t="s">
        <v>87</v>
      </c>
      <c r="W77" s="1" t="s">
        <v>108</v>
      </c>
    </row>
    <row r="78" spans="2:30" x14ac:dyDescent="0.35">
      <c r="H78" t="s">
        <v>88</v>
      </c>
      <c r="K78" s="1" t="s">
        <v>95</v>
      </c>
      <c r="N78" t="s">
        <v>88</v>
      </c>
      <c r="Q78" s="1" t="s">
        <v>95</v>
      </c>
      <c r="T78" t="s">
        <v>88</v>
      </c>
      <c r="W78" s="1" t="s">
        <v>109</v>
      </c>
    </row>
    <row r="79" spans="2:30" x14ac:dyDescent="0.35">
      <c r="H79" t="s">
        <v>89</v>
      </c>
      <c r="K79" s="1" t="s">
        <v>96</v>
      </c>
      <c r="N79" t="s">
        <v>89</v>
      </c>
      <c r="Q79" s="1" t="s">
        <v>96</v>
      </c>
      <c r="T79" t="s">
        <v>89</v>
      </c>
      <c r="W79" s="1" t="s">
        <v>110</v>
      </c>
    </row>
    <row r="80" spans="2:30" x14ac:dyDescent="0.35">
      <c r="H80" t="s">
        <v>90</v>
      </c>
      <c r="K80" s="1" t="s">
        <v>97</v>
      </c>
      <c r="N80" t="s">
        <v>90</v>
      </c>
      <c r="Q80" s="1" t="s">
        <v>97</v>
      </c>
      <c r="T80" t="s">
        <v>90</v>
      </c>
      <c r="W80" s="1" t="s">
        <v>111</v>
      </c>
    </row>
    <row r="81" spans="7:23" x14ac:dyDescent="0.35">
      <c r="H81" t="s">
        <v>74</v>
      </c>
      <c r="K81" s="1" t="s">
        <v>98</v>
      </c>
      <c r="N81" t="s">
        <v>74</v>
      </c>
      <c r="Q81" s="1" t="s">
        <v>98</v>
      </c>
      <c r="V81" s="1"/>
    </row>
    <row r="82" spans="7:23" x14ac:dyDescent="0.35">
      <c r="H82" t="s">
        <v>75</v>
      </c>
      <c r="K82" s="1" t="s">
        <v>99</v>
      </c>
      <c r="N82" t="s">
        <v>75</v>
      </c>
      <c r="Q82" s="1" t="s">
        <v>99</v>
      </c>
      <c r="V82" s="1"/>
    </row>
    <row r="84" spans="7:23" x14ac:dyDescent="0.35">
      <c r="G84" t="s">
        <v>117</v>
      </c>
      <c r="M84" t="s">
        <v>117</v>
      </c>
      <c r="S84" t="s">
        <v>117</v>
      </c>
    </row>
    <row r="85" spans="7:23" x14ac:dyDescent="0.35">
      <c r="G85" t="s">
        <v>115</v>
      </c>
      <c r="K85" s="1" t="s">
        <v>141</v>
      </c>
      <c r="M85" t="s">
        <v>115</v>
      </c>
      <c r="Q85" s="1" t="s">
        <v>141</v>
      </c>
      <c r="S85" t="s">
        <v>115</v>
      </c>
      <c r="W85" s="1" t="s">
        <v>142</v>
      </c>
    </row>
    <row r="86" spans="7:23" x14ac:dyDescent="0.35">
      <c r="G86" t="s">
        <v>133</v>
      </c>
      <c r="K86" s="1" t="s">
        <v>148</v>
      </c>
      <c r="M86" t="s">
        <v>133</v>
      </c>
      <c r="Q86" s="1" t="s">
        <v>148</v>
      </c>
      <c r="S86" t="s">
        <v>133</v>
      </c>
      <c r="W86" s="1" t="s">
        <v>137</v>
      </c>
    </row>
    <row r="87" spans="7:23" x14ac:dyDescent="0.35">
      <c r="G87" t="s">
        <v>134</v>
      </c>
      <c r="K87" s="1" t="s">
        <v>149</v>
      </c>
      <c r="M87" t="s">
        <v>134</v>
      </c>
      <c r="Q87" s="1" t="s">
        <v>149</v>
      </c>
      <c r="S87" t="s">
        <v>134</v>
      </c>
      <c r="W87" s="1" t="s">
        <v>138</v>
      </c>
    </row>
    <row r="88" spans="7:23" x14ac:dyDescent="0.35">
      <c r="G88" t="s">
        <v>121</v>
      </c>
      <c r="K88" s="1" t="s">
        <v>123</v>
      </c>
      <c r="M88" t="s">
        <v>121</v>
      </c>
      <c r="Q88" s="1" t="s">
        <v>123</v>
      </c>
      <c r="S88" t="s">
        <v>131</v>
      </c>
      <c r="W88" s="1" t="s">
        <v>139</v>
      </c>
    </row>
    <row r="89" spans="7:23" x14ac:dyDescent="0.35">
      <c r="G89" t="s">
        <v>122</v>
      </c>
      <c r="K89" s="1" t="s">
        <v>124</v>
      </c>
      <c r="M89" t="s">
        <v>122</v>
      </c>
      <c r="Q89" s="1" t="s">
        <v>124</v>
      </c>
      <c r="S89" t="s">
        <v>132</v>
      </c>
      <c r="W89" s="1" t="s">
        <v>140</v>
      </c>
    </row>
    <row r="90" spans="7:23" x14ac:dyDescent="0.35">
      <c r="G90" t="s">
        <v>116</v>
      </c>
      <c r="K90" s="1" t="s">
        <v>120</v>
      </c>
      <c r="M90" t="s">
        <v>116</v>
      </c>
      <c r="Q90" s="1" t="s">
        <v>120</v>
      </c>
      <c r="S90" t="s">
        <v>116</v>
      </c>
      <c r="W90" s="1" t="s">
        <v>143</v>
      </c>
    </row>
    <row r="91" spans="7:23" x14ac:dyDescent="0.35">
      <c r="G91" t="s">
        <v>118</v>
      </c>
      <c r="K91" s="1" t="s">
        <v>127</v>
      </c>
      <c r="M91" t="s">
        <v>118</v>
      </c>
      <c r="Q91" s="1" t="s">
        <v>127</v>
      </c>
      <c r="S91" t="s">
        <v>118</v>
      </c>
      <c r="W91" s="1" t="s">
        <v>144</v>
      </c>
    </row>
    <row r="92" spans="7:23" x14ac:dyDescent="0.35">
      <c r="G92" t="s">
        <v>125</v>
      </c>
      <c r="K92" s="1" t="s">
        <v>128</v>
      </c>
      <c r="M92" t="s">
        <v>125</v>
      </c>
      <c r="Q92" s="1" t="s">
        <v>128</v>
      </c>
      <c r="S92" t="s">
        <v>119</v>
      </c>
      <c r="W92" s="1" t="s">
        <v>145</v>
      </c>
    </row>
    <row r="93" spans="7:23" x14ac:dyDescent="0.35">
      <c r="G93" t="s">
        <v>119</v>
      </c>
      <c r="K93" s="1" t="s">
        <v>129</v>
      </c>
      <c r="M93" t="s">
        <v>119</v>
      </c>
      <c r="Q93" s="1" t="s">
        <v>129</v>
      </c>
      <c r="S93" t="s">
        <v>135</v>
      </c>
      <c r="W93" s="1" t="s">
        <v>146</v>
      </c>
    </row>
    <row r="94" spans="7:23" x14ac:dyDescent="0.35">
      <c r="G94" t="s">
        <v>126</v>
      </c>
      <c r="K94" s="1" t="s">
        <v>130</v>
      </c>
      <c r="M94" t="s">
        <v>126</v>
      </c>
      <c r="Q94" s="1" t="s">
        <v>130</v>
      </c>
      <c r="S94" t="s">
        <v>136</v>
      </c>
      <c r="W94" s="1" t="s">
        <v>147</v>
      </c>
    </row>
    <row r="100" spans="1:13" x14ac:dyDescent="0.35">
      <c r="B100" t="s">
        <v>14</v>
      </c>
      <c r="D100" t="s">
        <v>152</v>
      </c>
      <c r="E100" t="s">
        <v>153</v>
      </c>
      <c r="F100" t="s">
        <v>154</v>
      </c>
      <c r="G100" t="s">
        <v>155</v>
      </c>
      <c r="H100" t="s">
        <v>156</v>
      </c>
      <c r="I100" t="s">
        <v>157</v>
      </c>
      <c r="J100" t="s">
        <v>172</v>
      </c>
      <c r="L100" t="s">
        <v>151</v>
      </c>
    </row>
    <row r="101" spans="1:13" x14ac:dyDescent="0.35">
      <c r="A101">
        <v>10</v>
      </c>
      <c r="B101">
        <v>10</v>
      </c>
      <c r="C101" t="s">
        <v>23</v>
      </c>
      <c r="D101">
        <f t="shared" ref="D101:I102" si="10">U10*10</f>
        <v>-70</v>
      </c>
      <c r="E101">
        <f t="shared" si="10"/>
        <v>70</v>
      </c>
      <c r="F101">
        <f t="shared" si="10"/>
        <v>14</v>
      </c>
      <c r="G101">
        <f t="shared" si="10"/>
        <v>26</v>
      </c>
      <c r="H101">
        <f t="shared" si="10"/>
        <v>-6</v>
      </c>
      <c r="I101">
        <f t="shared" si="10"/>
        <v>6</v>
      </c>
      <c r="J101" t="s">
        <v>173</v>
      </c>
      <c r="L101" t="s">
        <v>158</v>
      </c>
      <c r="M101" t="s">
        <v>30</v>
      </c>
    </row>
    <row r="102" spans="1:13" x14ac:dyDescent="0.35">
      <c r="A102">
        <v>11</v>
      </c>
      <c r="B102">
        <v>11</v>
      </c>
      <c r="C102" t="s">
        <v>23</v>
      </c>
      <c r="D102">
        <f t="shared" si="10"/>
        <v>-70</v>
      </c>
      <c r="E102">
        <f t="shared" si="10"/>
        <v>70</v>
      </c>
      <c r="F102">
        <f t="shared" si="10"/>
        <v>-26</v>
      </c>
      <c r="G102">
        <f t="shared" si="10"/>
        <v>-14</v>
      </c>
      <c r="H102">
        <f t="shared" si="10"/>
        <v>-6</v>
      </c>
      <c r="I102">
        <f t="shared" si="10"/>
        <v>6</v>
      </c>
      <c r="J102" t="s">
        <v>173</v>
      </c>
      <c r="L102" t="s">
        <v>159</v>
      </c>
      <c r="M102" t="s">
        <v>30</v>
      </c>
    </row>
    <row r="103" spans="1:13" x14ac:dyDescent="0.35">
      <c r="A103">
        <v>20</v>
      </c>
      <c r="B103">
        <v>20</v>
      </c>
      <c r="C103" t="s">
        <v>23</v>
      </c>
      <c r="D103" t="e">
        <f>#REF!*10</f>
        <v>#REF!</v>
      </c>
      <c r="E103" t="e">
        <f>#REF!*10</f>
        <v>#REF!</v>
      </c>
      <c r="F103" t="e">
        <f>#REF!*10</f>
        <v>#REF!</v>
      </c>
      <c r="G103" t="e">
        <f>#REF!*10</f>
        <v>#REF!</v>
      </c>
      <c r="H103" t="e">
        <f>#REF!*10</f>
        <v>#REF!</v>
      </c>
      <c r="I103" t="e">
        <f>#REF!*10</f>
        <v>#REF!</v>
      </c>
      <c r="J103" t="s">
        <v>173</v>
      </c>
      <c r="L103" t="s">
        <v>160</v>
      </c>
      <c r="M103" t="s">
        <v>50</v>
      </c>
    </row>
    <row r="104" spans="1:13" x14ac:dyDescent="0.35">
      <c r="A104">
        <v>21</v>
      </c>
      <c r="B104">
        <v>21</v>
      </c>
      <c r="C104" t="s">
        <v>23</v>
      </c>
      <c r="D104">
        <f t="shared" ref="D104:I106" si="11">U12*10</f>
        <v>-27</v>
      </c>
      <c r="E104">
        <f t="shared" si="11"/>
        <v>-15</v>
      </c>
      <c r="F104">
        <f t="shared" si="11"/>
        <v>-500</v>
      </c>
      <c r="G104">
        <f t="shared" si="11"/>
        <v>73</v>
      </c>
      <c r="H104">
        <f t="shared" si="11"/>
        <v>31.999999999999996</v>
      </c>
      <c r="I104">
        <f t="shared" si="11"/>
        <v>43.999999999999993</v>
      </c>
      <c r="J104" t="s">
        <v>173</v>
      </c>
      <c r="L104" t="s">
        <v>161</v>
      </c>
      <c r="M104" t="s">
        <v>50</v>
      </c>
    </row>
    <row r="105" spans="1:13" x14ac:dyDescent="0.35">
      <c r="A105">
        <v>30</v>
      </c>
      <c r="B105">
        <v>30</v>
      </c>
      <c r="C105" t="s">
        <v>23</v>
      </c>
      <c r="D105">
        <f t="shared" si="11"/>
        <v>21.999999999999996</v>
      </c>
      <c r="E105">
        <f t="shared" si="11"/>
        <v>34</v>
      </c>
      <c r="F105">
        <f t="shared" si="11"/>
        <v>-67</v>
      </c>
      <c r="G105">
        <f t="shared" si="11"/>
        <v>73</v>
      </c>
      <c r="H105">
        <f t="shared" si="11"/>
        <v>31.999999999999996</v>
      </c>
      <c r="I105">
        <f t="shared" si="11"/>
        <v>43.999999999999993</v>
      </c>
      <c r="J105" t="s">
        <v>173</v>
      </c>
      <c r="L105" t="s">
        <v>162</v>
      </c>
      <c r="M105" t="s">
        <v>49</v>
      </c>
    </row>
    <row r="106" spans="1:13" x14ac:dyDescent="0.35">
      <c r="A106">
        <v>31</v>
      </c>
      <c r="B106">
        <v>31</v>
      </c>
      <c r="C106" t="s">
        <v>23</v>
      </c>
      <c r="D106">
        <f t="shared" si="11"/>
        <v>78</v>
      </c>
      <c r="E106">
        <f t="shared" si="11"/>
        <v>90</v>
      </c>
      <c r="F106">
        <f t="shared" si="11"/>
        <v>-67</v>
      </c>
      <c r="G106">
        <f t="shared" si="11"/>
        <v>73</v>
      </c>
      <c r="H106">
        <f t="shared" si="11"/>
        <v>31.999999999999996</v>
      </c>
      <c r="I106">
        <f t="shared" si="11"/>
        <v>43.999999999999993</v>
      </c>
      <c r="J106" t="s">
        <v>173</v>
      </c>
      <c r="L106" t="s">
        <v>163</v>
      </c>
      <c r="M106" t="s">
        <v>49</v>
      </c>
    </row>
    <row r="107" spans="1:13" x14ac:dyDescent="0.35">
      <c r="A107">
        <v>32</v>
      </c>
      <c r="B107">
        <v>32</v>
      </c>
      <c r="C107" t="s">
        <v>23</v>
      </c>
      <c r="D107">
        <f t="shared" ref="D107:I107" si="12">U18*10</f>
        <v>-70</v>
      </c>
      <c r="E107">
        <f t="shared" si="12"/>
        <v>70</v>
      </c>
      <c r="F107">
        <f t="shared" si="12"/>
        <v>-97.999999999999986</v>
      </c>
      <c r="G107">
        <f t="shared" si="12"/>
        <v>-86</v>
      </c>
      <c r="H107">
        <f t="shared" si="12"/>
        <v>120</v>
      </c>
      <c r="I107">
        <f t="shared" si="12"/>
        <v>132</v>
      </c>
      <c r="J107" t="s">
        <v>173</v>
      </c>
      <c r="L107" t="s">
        <v>164</v>
      </c>
      <c r="M107" t="s">
        <v>49</v>
      </c>
    </row>
    <row r="108" spans="1:13" x14ac:dyDescent="0.35">
      <c r="A108">
        <v>33</v>
      </c>
      <c r="B108">
        <v>33</v>
      </c>
      <c r="C108" t="s">
        <v>23</v>
      </c>
      <c r="D108">
        <f t="shared" ref="D108:I108" si="13">U17*10</f>
        <v>-70</v>
      </c>
      <c r="E108">
        <f t="shared" si="13"/>
        <v>70</v>
      </c>
      <c r="F108">
        <f t="shared" si="13"/>
        <v>-37</v>
      </c>
      <c r="G108">
        <f t="shared" si="13"/>
        <v>-25</v>
      </c>
      <c r="H108">
        <f t="shared" si="13"/>
        <v>120</v>
      </c>
      <c r="I108">
        <f t="shared" si="13"/>
        <v>132</v>
      </c>
      <c r="J108" t="s">
        <v>173</v>
      </c>
      <c r="L108" t="s">
        <v>165</v>
      </c>
      <c r="M108" t="s">
        <v>49</v>
      </c>
    </row>
    <row r="109" spans="1:13" x14ac:dyDescent="0.35">
      <c r="A109">
        <v>40</v>
      </c>
      <c r="B109">
        <v>40</v>
      </c>
      <c r="C109" t="s">
        <v>23</v>
      </c>
      <c r="D109">
        <f t="shared" ref="D109:I109" si="14">U16*10</f>
        <v>-70</v>
      </c>
      <c r="E109">
        <f t="shared" si="14"/>
        <v>70</v>
      </c>
      <c r="F109">
        <f t="shared" si="14"/>
        <v>25</v>
      </c>
      <c r="G109">
        <f t="shared" si="14"/>
        <v>37</v>
      </c>
      <c r="H109">
        <f t="shared" si="14"/>
        <v>120</v>
      </c>
      <c r="I109">
        <f t="shared" si="14"/>
        <v>132</v>
      </c>
      <c r="J109" t="s">
        <v>173</v>
      </c>
      <c r="L109" t="s">
        <v>166</v>
      </c>
      <c r="M109" t="s">
        <v>49</v>
      </c>
    </row>
    <row r="110" spans="1:13" x14ac:dyDescent="0.35">
      <c r="A110">
        <v>41</v>
      </c>
      <c r="B110">
        <v>41</v>
      </c>
      <c r="C110" t="s">
        <v>23</v>
      </c>
      <c r="D110">
        <f t="shared" ref="D110:I110" si="15">U19*10</f>
        <v>-70</v>
      </c>
      <c r="E110">
        <f t="shared" si="15"/>
        <v>70</v>
      </c>
      <c r="F110">
        <f t="shared" si="15"/>
        <v>86</v>
      </c>
      <c r="G110">
        <f t="shared" si="15"/>
        <v>97.999999999999986</v>
      </c>
      <c r="H110">
        <f t="shared" si="15"/>
        <v>120</v>
      </c>
      <c r="I110">
        <f t="shared" si="15"/>
        <v>132</v>
      </c>
      <c r="J110" t="s">
        <v>173</v>
      </c>
      <c r="L110" t="s">
        <v>167</v>
      </c>
      <c r="M110" t="s">
        <v>49</v>
      </c>
    </row>
    <row r="111" spans="1:13" x14ac:dyDescent="0.35">
      <c r="A111">
        <v>42</v>
      </c>
      <c r="B111">
        <v>42</v>
      </c>
      <c r="C111" t="s">
        <v>23</v>
      </c>
      <c r="D111">
        <f t="shared" ref="D111:I111" si="16">U22*10</f>
        <v>-97.999999999999986</v>
      </c>
      <c r="E111">
        <f t="shared" si="16"/>
        <v>-86</v>
      </c>
      <c r="F111">
        <f t="shared" si="16"/>
        <v>-70</v>
      </c>
      <c r="G111">
        <f t="shared" si="16"/>
        <v>70</v>
      </c>
      <c r="H111">
        <f t="shared" si="16"/>
        <v>205.99999999999997</v>
      </c>
      <c r="I111">
        <f t="shared" si="16"/>
        <v>218</v>
      </c>
      <c r="J111" t="s">
        <v>173</v>
      </c>
      <c r="L111" t="s">
        <v>168</v>
      </c>
      <c r="M111" t="s">
        <v>49</v>
      </c>
    </row>
    <row r="112" spans="1:13" x14ac:dyDescent="0.35">
      <c r="A112">
        <v>43</v>
      </c>
      <c r="B112">
        <v>43</v>
      </c>
      <c r="C112" t="s">
        <v>23</v>
      </c>
      <c r="D112">
        <f t="shared" ref="D112:I112" si="17">U21*10</f>
        <v>-37</v>
      </c>
      <c r="E112">
        <f t="shared" si="17"/>
        <v>-25</v>
      </c>
      <c r="F112">
        <f t="shared" si="17"/>
        <v>-70</v>
      </c>
      <c r="G112">
        <f t="shared" si="17"/>
        <v>70</v>
      </c>
      <c r="H112">
        <f t="shared" si="17"/>
        <v>205.99999999999997</v>
      </c>
      <c r="I112">
        <f t="shared" si="17"/>
        <v>218</v>
      </c>
      <c r="J112" t="s">
        <v>173</v>
      </c>
      <c r="L112" t="s">
        <v>169</v>
      </c>
      <c r="M112" t="s">
        <v>49</v>
      </c>
    </row>
    <row r="113" spans="1:13" x14ac:dyDescent="0.35">
      <c r="A113">
        <v>50</v>
      </c>
      <c r="B113">
        <v>50</v>
      </c>
      <c r="C113" t="s">
        <v>23</v>
      </c>
      <c r="D113">
        <f t="shared" ref="D113:I113" si="18">U20*10</f>
        <v>25</v>
      </c>
      <c r="E113">
        <f t="shared" si="18"/>
        <v>37</v>
      </c>
      <c r="F113">
        <f t="shared" si="18"/>
        <v>-70</v>
      </c>
      <c r="G113">
        <f t="shared" si="18"/>
        <v>70</v>
      </c>
      <c r="H113">
        <f t="shared" si="18"/>
        <v>205.99999999999997</v>
      </c>
      <c r="I113">
        <f t="shared" si="18"/>
        <v>218</v>
      </c>
      <c r="J113" t="s">
        <v>173</v>
      </c>
      <c r="L113" t="s">
        <v>170</v>
      </c>
      <c r="M113" t="s">
        <v>50</v>
      </c>
    </row>
    <row r="114" spans="1:13" ht="15" thickBot="1" x14ac:dyDescent="0.4">
      <c r="A114" s="2">
        <v>51</v>
      </c>
      <c r="B114" s="2">
        <v>51</v>
      </c>
      <c r="C114" s="2" t="s">
        <v>23</v>
      </c>
      <c r="D114" s="2">
        <f t="shared" ref="D114" si="19">U23*10</f>
        <v>86</v>
      </c>
      <c r="E114" s="2">
        <f t="shared" ref="E114" si="20">V23*10</f>
        <v>97.999999999999986</v>
      </c>
      <c r="F114" s="2">
        <f t="shared" ref="F114" si="21">W23*10</f>
        <v>-70</v>
      </c>
      <c r="G114" s="2">
        <f t="shared" ref="G114" si="22">X23*10</f>
        <v>70</v>
      </c>
      <c r="H114" s="2">
        <f t="shared" ref="H114" si="23">Y23*10</f>
        <v>205.99999999999997</v>
      </c>
      <c r="I114" s="2">
        <f t="shared" ref="I114" si="24">Z23*10</f>
        <v>218</v>
      </c>
      <c r="J114" s="2" t="s">
        <v>173</v>
      </c>
      <c r="K114" s="2"/>
      <c r="L114" s="2" t="s">
        <v>171</v>
      </c>
      <c r="M114" s="2" t="s">
        <v>50</v>
      </c>
    </row>
    <row r="115" spans="1:13" x14ac:dyDescent="0.35">
      <c r="A115">
        <v>10</v>
      </c>
      <c r="B115" t="s">
        <v>61</v>
      </c>
      <c r="C115" t="s">
        <v>23</v>
      </c>
      <c r="D115">
        <f>D101+K34</f>
        <v>-65.5</v>
      </c>
      <c r="E115">
        <f>D115+K31</f>
        <v>65.5</v>
      </c>
      <c r="F115">
        <f>F101-K33-K30</f>
        <v>10</v>
      </c>
      <c r="G115">
        <f>G101+K33+K30</f>
        <v>30</v>
      </c>
      <c r="H115">
        <f>H101-K33-K30</f>
        <v>-10</v>
      </c>
      <c r="I115">
        <f>I101+K33+K30</f>
        <v>10</v>
      </c>
      <c r="J115" t="s">
        <v>173</v>
      </c>
      <c r="L115" t="s">
        <v>177</v>
      </c>
      <c r="M115" t="s">
        <v>30</v>
      </c>
    </row>
    <row r="116" spans="1:13" x14ac:dyDescent="0.35">
      <c r="A116">
        <v>10</v>
      </c>
      <c r="B116" t="s">
        <v>62</v>
      </c>
      <c r="C116" t="s">
        <v>23</v>
      </c>
      <c r="D116">
        <f>D115</f>
        <v>-65.5</v>
      </c>
      <c r="E116">
        <f>E115</f>
        <v>65.5</v>
      </c>
      <c r="F116">
        <f>F101-K33</f>
        <v>13</v>
      </c>
      <c r="G116">
        <f>G101+K33</f>
        <v>27</v>
      </c>
      <c r="H116">
        <f>H101-K33</f>
        <v>-7</v>
      </c>
      <c r="I116">
        <f>I101+K33</f>
        <v>7</v>
      </c>
      <c r="J116" t="s">
        <v>173</v>
      </c>
      <c r="L116" t="s">
        <v>178</v>
      </c>
      <c r="M116" t="s">
        <v>30</v>
      </c>
    </row>
    <row r="117" spans="1:13" x14ac:dyDescent="0.35">
      <c r="A117">
        <v>10</v>
      </c>
      <c r="B117" t="s">
        <v>63</v>
      </c>
      <c r="C117" t="s">
        <v>176</v>
      </c>
      <c r="D117">
        <f>AVERAGE(F101:G101)</f>
        <v>20</v>
      </c>
      <c r="E117">
        <f>AVERAGE(H101:I101)</f>
        <v>0</v>
      </c>
      <c r="F117">
        <f>K38</f>
        <v>16.5</v>
      </c>
      <c r="G117" t="s">
        <v>173</v>
      </c>
      <c r="H117" t="s">
        <v>173</v>
      </c>
      <c r="I117" t="s">
        <v>173</v>
      </c>
      <c r="J117" t="s">
        <v>173</v>
      </c>
      <c r="M117" t="s">
        <v>30</v>
      </c>
    </row>
    <row r="118" spans="1:13" x14ac:dyDescent="0.35">
      <c r="A118">
        <v>10</v>
      </c>
      <c r="B118" t="s">
        <v>65</v>
      </c>
      <c r="C118" t="s">
        <v>23</v>
      </c>
      <c r="D118">
        <f>E116</f>
        <v>65.5</v>
      </c>
      <c r="E118">
        <f>E116+K37</f>
        <v>71</v>
      </c>
      <c r="F118">
        <f>F116</f>
        <v>13</v>
      </c>
      <c r="G118">
        <f>G116</f>
        <v>27</v>
      </c>
      <c r="H118">
        <f>H116</f>
        <v>-7</v>
      </c>
      <c r="I118">
        <f>I116</f>
        <v>7</v>
      </c>
      <c r="J118" t="s">
        <v>173</v>
      </c>
      <c r="M118" t="s">
        <v>30</v>
      </c>
    </row>
    <row r="119" spans="1:13" x14ac:dyDescent="0.35">
      <c r="A119">
        <v>10</v>
      </c>
      <c r="B119" t="s">
        <v>64</v>
      </c>
      <c r="C119" t="s">
        <v>176</v>
      </c>
      <c r="D119">
        <f>D117</f>
        <v>20</v>
      </c>
      <c r="E119">
        <f>E117</f>
        <v>0</v>
      </c>
      <c r="F119">
        <f>K44</f>
        <v>13.5</v>
      </c>
      <c r="G119" t="s">
        <v>173</v>
      </c>
      <c r="H119" t="s">
        <v>173</v>
      </c>
      <c r="I119" t="s">
        <v>173</v>
      </c>
      <c r="J119" t="s">
        <v>173</v>
      </c>
      <c r="M119" t="s">
        <v>30</v>
      </c>
    </row>
    <row r="120" spans="1:13" x14ac:dyDescent="0.35">
      <c r="A120">
        <v>10</v>
      </c>
      <c r="B120" t="s">
        <v>67</v>
      </c>
      <c r="C120" t="s">
        <v>23</v>
      </c>
      <c r="D120">
        <f>D116-K37</f>
        <v>-71</v>
      </c>
      <c r="E120">
        <f>D116</f>
        <v>-65.5</v>
      </c>
      <c r="F120">
        <f>F118</f>
        <v>13</v>
      </c>
      <c r="G120">
        <f>G118</f>
        <v>27</v>
      </c>
      <c r="H120">
        <f>H118</f>
        <v>-7</v>
      </c>
      <c r="I120">
        <f>I118</f>
        <v>7</v>
      </c>
      <c r="J120" t="s">
        <v>173</v>
      </c>
      <c r="M120" t="s">
        <v>30</v>
      </c>
    </row>
    <row r="121" spans="1:13" x14ac:dyDescent="0.35">
      <c r="A121">
        <v>10</v>
      </c>
      <c r="B121" t="s">
        <v>68</v>
      </c>
      <c r="C121" t="s">
        <v>174</v>
      </c>
      <c r="D121">
        <f>E116</f>
        <v>65.5</v>
      </c>
      <c r="E121" t="s">
        <v>173</v>
      </c>
      <c r="F121" t="s">
        <v>173</v>
      </c>
      <c r="G121" t="s">
        <v>173</v>
      </c>
      <c r="H121" t="s">
        <v>173</v>
      </c>
      <c r="I121" t="s">
        <v>173</v>
      </c>
      <c r="J121" t="s">
        <v>173</v>
      </c>
      <c r="M121" t="s">
        <v>30</v>
      </c>
    </row>
    <row r="122" spans="1:13" x14ac:dyDescent="0.35">
      <c r="A122">
        <v>10</v>
      </c>
      <c r="B122" t="s">
        <v>69</v>
      </c>
      <c r="C122" t="s">
        <v>174</v>
      </c>
      <c r="D122">
        <f>D116</f>
        <v>-65.5</v>
      </c>
      <c r="E122" t="s">
        <v>173</v>
      </c>
      <c r="F122" t="s">
        <v>173</v>
      </c>
      <c r="G122" t="s">
        <v>173</v>
      </c>
      <c r="H122" t="s">
        <v>173</v>
      </c>
      <c r="I122" t="s">
        <v>173</v>
      </c>
      <c r="J122" t="s">
        <v>173</v>
      </c>
      <c r="M122" t="s">
        <v>30</v>
      </c>
    </row>
    <row r="123" spans="1:13" x14ac:dyDescent="0.35">
      <c r="A123">
        <v>10</v>
      </c>
      <c r="B123" t="s">
        <v>70</v>
      </c>
      <c r="C123" t="s">
        <v>174</v>
      </c>
      <c r="D123">
        <f>E118</f>
        <v>71</v>
      </c>
      <c r="E123" t="s">
        <v>173</v>
      </c>
      <c r="F123" t="s">
        <v>173</v>
      </c>
      <c r="G123" t="s">
        <v>173</v>
      </c>
      <c r="H123" t="s">
        <v>173</v>
      </c>
      <c r="I123" t="s">
        <v>173</v>
      </c>
      <c r="J123" t="s">
        <v>173</v>
      </c>
      <c r="M123" t="s">
        <v>30</v>
      </c>
    </row>
    <row r="124" spans="1:13" x14ac:dyDescent="0.35">
      <c r="A124">
        <v>10</v>
      </c>
      <c r="B124" t="s">
        <v>71</v>
      </c>
      <c r="C124" t="s">
        <v>174</v>
      </c>
      <c r="D124">
        <f>D120</f>
        <v>-71</v>
      </c>
      <c r="E124" t="s">
        <v>173</v>
      </c>
      <c r="F124" t="s">
        <v>173</v>
      </c>
      <c r="G124" t="s">
        <v>173</v>
      </c>
      <c r="H124" t="s">
        <v>173</v>
      </c>
      <c r="I124" t="s">
        <v>173</v>
      </c>
      <c r="J124" t="s">
        <v>173</v>
      </c>
      <c r="M124" t="s">
        <v>30</v>
      </c>
    </row>
    <row r="125" spans="1:13" x14ac:dyDescent="0.35">
      <c r="A125">
        <v>10</v>
      </c>
      <c r="B125" t="s">
        <v>72</v>
      </c>
      <c r="C125" t="s">
        <v>174</v>
      </c>
      <c r="D125">
        <f>D123+K42</f>
        <v>100.5</v>
      </c>
      <c r="E125" t="s">
        <v>173</v>
      </c>
      <c r="F125" t="s">
        <v>173</v>
      </c>
      <c r="G125" t="s">
        <v>173</v>
      </c>
      <c r="H125" t="s">
        <v>173</v>
      </c>
      <c r="I125" t="s">
        <v>173</v>
      </c>
      <c r="J125" t="s">
        <v>173</v>
      </c>
      <c r="M125" t="s">
        <v>30</v>
      </c>
    </row>
    <row r="126" spans="1:13" x14ac:dyDescent="0.35">
      <c r="A126">
        <v>10</v>
      </c>
      <c r="B126" t="s">
        <v>73</v>
      </c>
      <c r="C126" t="s">
        <v>174</v>
      </c>
      <c r="D126">
        <f>D124-K42</f>
        <v>-100.5</v>
      </c>
      <c r="E126" t="s">
        <v>173</v>
      </c>
      <c r="F126" t="s">
        <v>173</v>
      </c>
      <c r="G126" t="s">
        <v>173</v>
      </c>
      <c r="H126" t="s">
        <v>173</v>
      </c>
      <c r="I126" t="s">
        <v>173</v>
      </c>
      <c r="J126" t="s">
        <v>173</v>
      </c>
      <c r="M126" t="s">
        <v>30</v>
      </c>
    </row>
    <row r="127" spans="1:13" x14ac:dyDescent="0.35">
      <c r="A127">
        <v>10</v>
      </c>
      <c r="B127" t="s">
        <v>74</v>
      </c>
      <c r="C127" t="s">
        <v>78</v>
      </c>
      <c r="D127">
        <f>E101+K48</f>
        <v>71</v>
      </c>
      <c r="E127">
        <f>D117</f>
        <v>20</v>
      </c>
      <c r="F127">
        <f>E117</f>
        <v>0</v>
      </c>
      <c r="G127">
        <f>K46</f>
        <v>80</v>
      </c>
      <c r="H127">
        <v>0</v>
      </c>
      <c r="I127">
        <v>0</v>
      </c>
      <c r="J127">
        <f>K47</f>
        <v>12.7</v>
      </c>
      <c r="M127" t="s">
        <v>30</v>
      </c>
    </row>
    <row r="128" spans="1:13" x14ac:dyDescent="0.35">
      <c r="A128">
        <v>10</v>
      </c>
      <c r="B128" t="s">
        <v>75</v>
      </c>
      <c r="C128" t="s">
        <v>78</v>
      </c>
      <c r="D128">
        <f>D101-K48</f>
        <v>-71</v>
      </c>
      <c r="E128">
        <f>D117</f>
        <v>20</v>
      </c>
      <c r="F128">
        <f>E117</f>
        <v>0</v>
      </c>
      <c r="G128">
        <f>K46</f>
        <v>80</v>
      </c>
      <c r="H128">
        <v>0</v>
      </c>
      <c r="I128">
        <v>0</v>
      </c>
      <c r="J128">
        <f>J127</f>
        <v>12.7</v>
      </c>
      <c r="M128" t="s">
        <v>30</v>
      </c>
    </row>
    <row r="129" spans="1:13" ht="15" thickBot="1" x14ac:dyDescent="0.4">
      <c r="A129" s="2">
        <v>10</v>
      </c>
      <c r="B129" s="2" t="s">
        <v>175</v>
      </c>
      <c r="C129" s="2" t="s">
        <v>23</v>
      </c>
      <c r="D129" s="2">
        <f>2*D126</f>
        <v>-201</v>
      </c>
      <c r="E129" s="2">
        <f>2*D125</f>
        <v>201</v>
      </c>
      <c r="F129" s="2">
        <f>D117-F117</f>
        <v>3.5</v>
      </c>
      <c r="G129" s="2">
        <f>D117+F117</f>
        <v>36.5</v>
      </c>
      <c r="H129" s="2">
        <f>E117-F117</f>
        <v>-16.5</v>
      </c>
      <c r="I129" s="2">
        <f>E117+F117</f>
        <v>16.5</v>
      </c>
      <c r="J129" s="2" t="s">
        <v>173</v>
      </c>
      <c r="K129" s="2"/>
      <c r="L129" s="2"/>
      <c r="M129" s="2" t="s">
        <v>30</v>
      </c>
    </row>
  </sheetData>
  <mergeCells count="4">
    <mergeCell ref="B8:F8"/>
    <mergeCell ref="H8:J8"/>
    <mergeCell ref="L8:N8"/>
    <mergeCell ref="P8:Q8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48a24bc-a98d-4025-9c60-48c19a142069}" enabled="0" method="" siteId="{648a24bc-a98d-4025-9c60-48c19a1420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Blørstad Thu</dc:creator>
  <cp:lastModifiedBy>Sander Blørstad Thu</cp:lastModifiedBy>
  <dcterms:created xsi:type="dcterms:W3CDTF">2025-11-13T14:37:00Z</dcterms:created>
  <dcterms:modified xsi:type="dcterms:W3CDTF">2026-03-13T10:27:36Z</dcterms:modified>
</cp:coreProperties>
</file>